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경 4종(2001-2025)" sheetId="1" state="visible" r:id="rId1"/>
    <sheet name="유사자격증 5종(2015-2025)" sheetId="2" state="visible" r:id="rId2"/>
    <sheet name="증감률 비교(2015-2025)" sheetId="3" state="visible" r:id="rId3"/>
    <sheet name="조경 자격취득자 성비(2013-2024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"/>
    <numFmt numFmtId="166" formatCode="+0.0%p;-0.0%p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C1C1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5" fillId="0" borderId="1" applyAlignment="1" pivotButton="0" quotePrefix="0" xfId="0">
      <alignment horizontal="left"/>
    </xf>
    <xf numFmtId="3" fontId="5" fillId="0" borderId="1" pivotButton="0" quotePrefix="0" xfId="0"/>
    <xf numFmtId="165" fontId="5" fillId="0" borderId="1" pivotButton="0" quotePrefix="0" xfId="0"/>
    <xf numFmtId="164" fontId="5" fillId="0" borderId="1" pivotButton="0" quotePrefix="0" xfId="0"/>
    <xf numFmtId="166" fontId="5" fillId="0" borderId="1" pivotButton="0" quotePrefix="0" xfId="0"/>
    <xf numFmtId="0" fontId="4" fillId="0" borderId="1" applyAlignment="1" pivotButton="0" quotePrefix="0" xfId="0">
      <alignment horizontal="left"/>
    </xf>
    <xf numFmtId="165" fontId="4" fillId="0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조경 국가자격 4종 검정 현황 (2001~2025)</t>
        </is>
      </c>
    </row>
    <row r="2">
      <c r="A2" s="2" t="inlineStr">
        <is>
          <t>출처: 한국산업인력공단 Q-Net 「종목별 검정현황」. 매거진그린 자체 집계.</t>
        </is>
      </c>
    </row>
    <row r="4">
      <c r="A4" s="3" t="inlineStr">
        <is>
          <t>종목</t>
        </is>
      </c>
      <c r="B4" s="3" t="inlineStr">
        <is>
          <t>연도</t>
        </is>
      </c>
      <c r="C4" s="3" t="inlineStr">
        <is>
          <t>필기 응시</t>
        </is>
      </c>
      <c r="D4" s="3" t="inlineStr">
        <is>
          <t>필기 합격</t>
        </is>
      </c>
      <c r="E4" s="3" t="inlineStr">
        <is>
          <t>필기 합격률</t>
        </is>
      </c>
      <c r="F4" s="3" t="inlineStr">
        <is>
          <t>실기 응시</t>
        </is>
      </c>
      <c r="G4" s="3" t="inlineStr">
        <is>
          <t>실기 합격</t>
        </is>
      </c>
      <c r="H4" s="3" t="inlineStr">
        <is>
          <t>실기 합격률</t>
        </is>
      </c>
    </row>
    <row r="5">
      <c r="A5" s="4" t="inlineStr">
        <is>
          <t>조경기사</t>
        </is>
      </c>
      <c r="B5" s="4" t="n">
        <v>2001</v>
      </c>
      <c r="C5" s="5" t="n">
        <v>2827</v>
      </c>
      <c r="D5" s="5" t="n">
        <v>716</v>
      </c>
      <c r="E5" s="6">
        <f>D5/C5</f>
        <v/>
      </c>
      <c r="F5" s="5" t="n">
        <v>1539</v>
      </c>
      <c r="G5" s="5" t="n">
        <v>540</v>
      </c>
      <c r="H5" s="6">
        <f>G5/F5</f>
        <v/>
      </c>
    </row>
    <row r="6">
      <c r="A6" s="4" t="inlineStr">
        <is>
          <t>조경기사</t>
        </is>
      </c>
      <c r="B6" s="4" t="n">
        <v>2002</v>
      </c>
      <c r="C6" s="5" t="n">
        <v>3155</v>
      </c>
      <c r="D6" s="5" t="n">
        <v>538</v>
      </c>
      <c r="E6" s="6">
        <f>D6/C6</f>
        <v/>
      </c>
      <c r="F6" s="5" t="n">
        <v>1100</v>
      </c>
      <c r="G6" s="5" t="n">
        <v>413</v>
      </c>
      <c r="H6" s="6">
        <f>G6/F6</f>
        <v/>
      </c>
    </row>
    <row r="7">
      <c r="A7" s="4" t="inlineStr">
        <is>
          <t>조경기사</t>
        </is>
      </c>
      <c r="B7" s="4" t="n">
        <v>2003</v>
      </c>
      <c r="C7" s="5" t="n">
        <v>3173</v>
      </c>
      <c r="D7" s="5" t="n">
        <v>708</v>
      </c>
      <c r="E7" s="6">
        <f>D7/C7</f>
        <v/>
      </c>
      <c r="F7" s="5" t="n">
        <v>1289</v>
      </c>
      <c r="G7" s="5" t="n">
        <v>360</v>
      </c>
      <c r="H7" s="6">
        <f>G7/F7</f>
        <v/>
      </c>
    </row>
    <row r="8">
      <c r="A8" s="4" t="inlineStr">
        <is>
          <t>조경기사</t>
        </is>
      </c>
      <c r="B8" s="4" t="n">
        <v>2004</v>
      </c>
      <c r="C8" s="5" t="n">
        <v>3595</v>
      </c>
      <c r="D8" s="5" t="n">
        <v>654</v>
      </c>
      <c r="E8" s="6">
        <f>D8/C8</f>
        <v/>
      </c>
      <c r="F8" s="5" t="n">
        <v>1185</v>
      </c>
      <c r="G8" s="5" t="n">
        <v>226</v>
      </c>
      <c r="H8" s="6">
        <f>G8/F8</f>
        <v/>
      </c>
    </row>
    <row r="9">
      <c r="A9" s="4" t="inlineStr">
        <is>
          <t>조경기사</t>
        </is>
      </c>
      <c r="B9" s="4" t="n">
        <v>2005</v>
      </c>
      <c r="C9" s="5" t="n">
        <v>4204</v>
      </c>
      <c r="D9" s="5" t="n">
        <v>889</v>
      </c>
      <c r="E9" s="6">
        <f>D9/C9</f>
        <v/>
      </c>
      <c r="F9" s="5" t="n">
        <v>2111</v>
      </c>
      <c r="G9" s="5" t="n">
        <v>393</v>
      </c>
      <c r="H9" s="6">
        <f>G9/F9</f>
        <v/>
      </c>
    </row>
    <row r="10">
      <c r="A10" s="4" t="inlineStr">
        <is>
          <t>조경기사</t>
        </is>
      </c>
      <c r="B10" s="4" t="n">
        <v>2006</v>
      </c>
      <c r="C10" s="5" t="n">
        <v>5892</v>
      </c>
      <c r="D10" s="5" t="n">
        <v>872</v>
      </c>
      <c r="E10" s="6">
        <f>D10/C10</f>
        <v/>
      </c>
      <c r="F10" s="5" t="n">
        <v>2393</v>
      </c>
      <c r="G10" s="5" t="n">
        <v>633</v>
      </c>
      <c r="H10" s="6">
        <f>G10/F10</f>
        <v/>
      </c>
    </row>
    <row r="11">
      <c r="A11" s="4" t="inlineStr">
        <is>
          <t>조경기사</t>
        </is>
      </c>
      <c r="B11" s="4" t="n">
        <v>2007</v>
      </c>
      <c r="C11" s="5" t="n">
        <v>5801</v>
      </c>
      <c r="D11" s="5" t="n">
        <v>999</v>
      </c>
      <c r="E11" s="6">
        <f>D11/C11</f>
        <v/>
      </c>
      <c r="F11" s="5" t="n">
        <v>1761</v>
      </c>
      <c r="G11" s="5" t="n">
        <v>601</v>
      </c>
      <c r="H11" s="6">
        <f>G11/F11</f>
        <v/>
      </c>
    </row>
    <row r="12">
      <c r="A12" s="4" t="inlineStr">
        <is>
          <t>조경기사</t>
        </is>
      </c>
      <c r="B12" s="4" t="n">
        <v>2008</v>
      </c>
      <c r="C12" s="5" t="n">
        <v>6618</v>
      </c>
      <c r="D12" s="5" t="n">
        <v>1010</v>
      </c>
      <c r="E12" s="6">
        <f>D12/C12</f>
        <v/>
      </c>
      <c r="F12" s="5" t="n">
        <v>2213</v>
      </c>
      <c r="G12" s="5" t="n">
        <v>721</v>
      </c>
      <c r="H12" s="6">
        <f>G12/F12</f>
        <v/>
      </c>
    </row>
    <row r="13">
      <c r="A13" s="4" t="inlineStr">
        <is>
          <t>조경기사</t>
        </is>
      </c>
      <c r="B13" s="4" t="n">
        <v>2009</v>
      </c>
      <c r="C13" s="5" t="n">
        <v>8453</v>
      </c>
      <c r="D13" s="5" t="n">
        <v>675</v>
      </c>
      <c r="E13" s="6">
        <f>D13/C13</f>
        <v/>
      </c>
      <c r="F13" s="5" t="n">
        <v>1806</v>
      </c>
      <c r="G13" s="5" t="n">
        <v>647</v>
      </c>
      <c r="H13" s="6">
        <f>G13/F13</f>
        <v/>
      </c>
    </row>
    <row r="14">
      <c r="A14" s="4" t="inlineStr">
        <is>
          <t>조경기사</t>
        </is>
      </c>
      <c r="B14" s="4" t="n">
        <v>2010</v>
      </c>
      <c r="C14" s="5" t="n">
        <v>10147</v>
      </c>
      <c r="D14" s="5" t="n">
        <v>1524</v>
      </c>
      <c r="E14" s="6">
        <f>D14/C14</f>
        <v/>
      </c>
      <c r="F14" s="5" t="n">
        <v>2838</v>
      </c>
      <c r="G14" s="5" t="n">
        <v>925</v>
      </c>
      <c r="H14" s="6">
        <f>G14/F14</f>
        <v/>
      </c>
    </row>
    <row r="15">
      <c r="A15" s="4" t="inlineStr">
        <is>
          <t>조경기사</t>
        </is>
      </c>
      <c r="B15" s="4" t="n">
        <v>2011</v>
      </c>
      <c r="C15" s="5" t="n">
        <v>9839</v>
      </c>
      <c r="D15" s="5" t="n">
        <v>1278</v>
      </c>
      <c r="E15" s="6">
        <f>D15/C15</f>
        <v/>
      </c>
      <c r="F15" s="5" t="n">
        <v>2472</v>
      </c>
      <c r="G15" s="5" t="n">
        <v>871</v>
      </c>
      <c r="H15" s="6">
        <f>G15/F15</f>
        <v/>
      </c>
    </row>
    <row r="16">
      <c r="A16" s="4" t="inlineStr">
        <is>
          <t>조경기사</t>
        </is>
      </c>
      <c r="B16" s="4" t="n">
        <v>2012</v>
      </c>
      <c r="C16" s="5" t="n">
        <v>8340</v>
      </c>
      <c r="D16" s="5" t="n">
        <v>855</v>
      </c>
      <c r="E16" s="6">
        <f>D16/C16</f>
        <v/>
      </c>
      <c r="F16" s="5" t="n">
        <v>2007</v>
      </c>
      <c r="G16" s="5" t="n">
        <v>900</v>
      </c>
      <c r="H16" s="6">
        <f>G16/F16</f>
        <v/>
      </c>
    </row>
    <row r="17">
      <c r="A17" s="4" t="inlineStr">
        <is>
          <t>조경기사</t>
        </is>
      </c>
      <c r="B17" s="4" t="n">
        <v>2013</v>
      </c>
      <c r="C17" s="5" t="n">
        <v>7418</v>
      </c>
      <c r="D17" s="5" t="n">
        <v>801</v>
      </c>
      <c r="E17" s="6">
        <f>D17/C17</f>
        <v/>
      </c>
      <c r="F17" s="5" t="n">
        <v>1494</v>
      </c>
      <c r="G17" s="5" t="n">
        <v>720</v>
      </c>
      <c r="H17" s="6">
        <f>G17/F17</f>
        <v/>
      </c>
    </row>
    <row r="18">
      <c r="A18" s="4" t="inlineStr">
        <is>
          <t>조경기사</t>
        </is>
      </c>
      <c r="B18" s="4" t="n">
        <v>2014</v>
      </c>
      <c r="C18" s="5" t="n">
        <v>6449</v>
      </c>
      <c r="D18" s="5" t="n">
        <v>396</v>
      </c>
      <c r="E18" s="6">
        <f>D18/C18</f>
        <v/>
      </c>
      <c r="F18" s="5" t="n">
        <v>888</v>
      </c>
      <c r="G18" s="5" t="n">
        <v>544</v>
      </c>
      <c r="H18" s="6">
        <f>G18/F18</f>
        <v/>
      </c>
    </row>
    <row r="19">
      <c r="A19" s="4" t="inlineStr">
        <is>
          <t>조경기사</t>
        </is>
      </c>
      <c r="B19" s="4" t="n">
        <v>2015</v>
      </c>
      <c r="C19" s="5" t="n">
        <v>5078</v>
      </c>
      <c r="D19" s="5" t="n">
        <v>831</v>
      </c>
      <c r="E19" s="6">
        <f>D19/C19</f>
        <v/>
      </c>
      <c r="F19" s="5" t="n">
        <v>1402</v>
      </c>
      <c r="G19" s="5" t="n">
        <v>544</v>
      </c>
      <c r="H19" s="6">
        <f>G19/F19</f>
        <v/>
      </c>
    </row>
    <row r="20">
      <c r="A20" s="4" t="inlineStr">
        <is>
          <t>조경기사</t>
        </is>
      </c>
      <c r="B20" s="4" t="n">
        <v>2016</v>
      </c>
      <c r="C20" s="5" t="n">
        <v>4289</v>
      </c>
      <c r="D20" s="5" t="n">
        <v>727</v>
      </c>
      <c r="E20" s="6">
        <f>D20/C20</f>
        <v/>
      </c>
      <c r="F20" s="5" t="n">
        <v>1228</v>
      </c>
      <c r="G20" s="5" t="n">
        <v>584</v>
      </c>
      <c r="H20" s="6">
        <f>G20/F20</f>
        <v/>
      </c>
    </row>
    <row r="21">
      <c r="A21" s="4" t="inlineStr">
        <is>
          <t>조경기사</t>
        </is>
      </c>
      <c r="B21" s="4" t="n">
        <v>2017</v>
      </c>
      <c r="C21" s="5" t="n">
        <v>4371</v>
      </c>
      <c r="D21" s="5" t="n">
        <v>840</v>
      </c>
      <c r="E21" s="6">
        <f>D21/C21</f>
        <v/>
      </c>
      <c r="F21" s="5" t="n">
        <v>1267</v>
      </c>
      <c r="G21" s="5" t="n">
        <v>555</v>
      </c>
      <c r="H21" s="6">
        <f>G21/F21</f>
        <v/>
      </c>
    </row>
    <row r="22">
      <c r="A22" s="4" t="inlineStr">
        <is>
          <t>조경기사</t>
        </is>
      </c>
      <c r="B22" s="4" t="n">
        <v>2018</v>
      </c>
      <c r="C22" s="5" t="n">
        <v>3858</v>
      </c>
      <c r="D22" s="5" t="n">
        <v>931</v>
      </c>
      <c r="E22" s="6">
        <f>D22/C22</f>
        <v/>
      </c>
      <c r="F22" s="5" t="n">
        <v>1538</v>
      </c>
      <c r="G22" s="5" t="n">
        <v>691</v>
      </c>
      <c r="H22" s="6">
        <f>G22/F22</f>
        <v/>
      </c>
    </row>
    <row r="23">
      <c r="A23" s="4" t="inlineStr">
        <is>
          <t>조경기사</t>
        </is>
      </c>
      <c r="B23" s="4" t="n">
        <v>2019</v>
      </c>
      <c r="C23" s="5" t="n">
        <v>4505</v>
      </c>
      <c r="D23" s="5" t="n">
        <v>704</v>
      </c>
      <c r="E23" s="6">
        <f>D23/C23</f>
        <v/>
      </c>
      <c r="F23" s="5" t="n">
        <v>1412</v>
      </c>
      <c r="G23" s="5" t="n">
        <v>561</v>
      </c>
      <c r="H23" s="6">
        <f>G23/F23</f>
        <v/>
      </c>
    </row>
    <row r="24">
      <c r="A24" s="4" t="inlineStr">
        <is>
          <t>조경기사</t>
        </is>
      </c>
      <c r="B24" s="4" t="n">
        <v>2020</v>
      </c>
      <c r="C24" s="5" t="n">
        <v>3884</v>
      </c>
      <c r="D24" s="5" t="n">
        <v>1056</v>
      </c>
      <c r="E24" s="6">
        <f>D24/C24</f>
        <v/>
      </c>
      <c r="F24" s="5" t="n">
        <v>1632</v>
      </c>
      <c r="G24" s="5" t="n">
        <v>702</v>
      </c>
      <c r="H24" s="6">
        <f>G24/F24</f>
        <v/>
      </c>
    </row>
    <row r="25">
      <c r="A25" s="4" t="inlineStr">
        <is>
          <t>조경기사</t>
        </is>
      </c>
      <c r="B25" s="4" t="n">
        <v>2021</v>
      </c>
      <c r="C25" s="5" t="n">
        <v>4923</v>
      </c>
      <c r="D25" s="5" t="n">
        <v>1008</v>
      </c>
      <c r="E25" s="6">
        <f>D25/C25</f>
        <v/>
      </c>
      <c r="F25" s="5" t="n">
        <v>1694</v>
      </c>
      <c r="G25" s="5" t="n">
        <v>730</v>
      </c>
      <c r="H25" s="6">
        <f>G25/F25</f>
        <v/>
      </c>
    </row>
    <row r="26">
      <c r="A26" s="4" t="inlineStr">
        <is>
          <t>조경기사</t>
        </is>
      </c>
      <c r="B26" s="4" t="n">
        <v>2022</v>
      </c>
      <c r="C26" s="5" t="n">
        <v>4516</v>
      </c>
      <c r="D26" s="5" t="n">
        <v>1202</v>
      </c>
      <c r="E26" s="6">
        <f>D26/C26</f>
        <v/>
      </c>
      <c r="F26" s="5" t="n">
        <v>2035</v>
      </c>
      <c r="G26" s="5" t="n">
        <v>864</v>
      </c>
      <c r="H26" s="6">
        <f>G26/F26</f>
        <v/>
      </c>
    </row>
    <row r="27">
      <c r="A27" s="4" t="inlineStr">
        <is>
          <t>조경기사</t>
        </is>
      </c>
      <c r="B27" s="4" t="n">
        <v>2023</v>
      </c>
      <c r="C27" s="5" t="n">
        <v>5073</v>
      </c>
      <c r="D27" s="5" t="n">
        <v>1118</v>
      </c>
      <c r="E27" s="6">
        <f>D27/C27</f>
        <v/>
      </c>
      <c r="F27" s="5" t="n">
        <v>1991</v>
      </c>
      <c r="G27" s="5" t="n">
        <v>652</v>
      </c>
      <c r="H27" s="6">
        <f>G27/F27</f>
        <v/>
      </c>
    </row>
    <row r="28">
      <c r="A28" s="4" t="inlineStr">
        <is>
          <t>조경기사</t>
        </is>
      </c>
      <c r="B28" s="4" t="n">
        <v>2024</v>
      </c>
      <c r="C28" s="5" t="n">
        <v>4991</v>
      </c>
      <c r="D28" s="5" t="n">
        <v>1344</v>
      </c>
      <c r="E28" s="6">
        <f>D28/C28</f>
        <v/>
      </c>
      <c r="F28" s="5" t="n">
        <v>2382</v>
      </c>
      <c r="G28" s="5" t="n">
        <v>1123</v>
      </c>
      <c r="H28" s="6">
        <f>G28/F28</f>
        <v/>
      </c>
    </row>
    <row r="29">
      <c r="A29" s="4" t="inlineStr">
        <is>
          <t>조경기사</t>
        </is>
      </c>
      <c r="B29" s="4" t="n">
        <v>2025</v>
      </c>
      <c r="C29" s="5" t="n">
        <v>5357</v>
      </c>
      <c r="D29" s="5" t="n">
        <v>1121</v>
      </c>
      <c r="E29" s="6">
        <f>D29/C29</f>
        <v/>
      </c>
      <c r="F29" s="5" t="n">
        <v>1739</v>
      </c>
      <c r="G29" s="5" t="n">
        <v>662</v>
      </c>
      <c r="H29" s="6">
        <f>G29/F29</f>
        <v/>
      </c>
    </row>
    <row r="30">
      <c r="A30" s="4" t="inlineStr">
        <is>
          <t>조경산업기사</t>
        </is>
      </c>
      <c r="B30" s="4" t="n">
        <v>2001</v>
      </c>
      <c r="C30" s="5" t="n">
        <v>2131</v>
      </c>
      <c r="D30" s="5" t="n">
        <v>643</v>
      </c>
      <c r="E30" s="6">
        <f>D30/C30</f>
        <v/>
      </c>
      <c r="F30" s="5" t="n">
        <v>962</v>
      </c>
      <c r="G30" s="5" t="n">
        <v>276</v>
      </c>
      <c r="H30" s="6">
        <f>G30/F30</f>
        <v/>
      </c>
    </row>
    <row r="31">
      <c r="A31" s="4" t="inlineStr">
        <is>
          <t>조경산업기사</t>
        </is>
      </c>
      <c r="B31" s="4" t="n">
        <v>2002</v>
      </c>
      <c r="C31" s="5" t="n">
        <v>2148</v>
      </c>
      <c r="D31" s="5" t="n">
        <v>568</v>
      </c>
      <c r="E31" s="6">
        <f>D31/C31</f>
        <v/>
      </c>
      <c r="F31" s="5" t="n">
        <v>865</v>
      </c>
      <c r="G31" s="5" t="n">
        <v>373</v>
      </c>
      <c r="H31" s="6">
        <f>G31/F31</f>
        <v/>
      </c>
    </row>
    <row r="32">
      <c r="A32" s="4" t="inlineStr">
        <is>
          <t>조경산업기사</t>
        </is>
      </c>
      <c r="B32" s="4" t="n">
        <v>2003</v>
      </c>
      <c r="C32" s="5" t="n">
        <v>2284</v>
      </c>
      <c r="D32" s="5" t="n">
        <v>723</v>
      </c>
      <c r="E32" s="6">
        <f>D32/C32</f>
        <v/>
      </c>
      <c r="F32" s="5" t="n">
        <v>835</v>
      </c>
      <c r="G32" s="5" t="n">
        <v>383</v>
      </c>
      <c r="H32" s="6">
        <f>G32/F32</f>
        <v/>
      </c>
    </row>
    <row r="33">
      <c r="A33" s="4" t="inlineStr">
        <is>
          <t>조경산업기사</t>
        </is>
      </c>
      <c r="B33" s="4" t="n">
        <v>2004</v>
      </c>
      <c r="C33" s="5" t="n">
        <v>2354</v>
      </c>
      <c r="D33" s="5" t="n">
        <v>747</v>
      </c>
      <c r="E33" s="6">
        <f>D33/C33</f>
        <v/>
      </c>
      <c r="F33" s="5" t="n">
        <v>1047</v>
      </c>
      <c r="G33" s="5" t="n">
        <v>316</v>
      </c>
      <c r="H33" s="6">
        <f>G33/F33</f>
        <v/>
      </c>
    </row>
    <row r="34">
      <c r="A34" s="4" t="inlineStr">
        <is>
          <t>조경산업기사</t>
        </is>
      </c>
      <c r="B34" s="4" t="n">
        <v>2005</v>
      </c>
      <c r="C34" s="5" t="n">
        <v>2995</v>
      </c>
      <c r="D34" s="5" t="n">
        <v>931</v>
      </c>
      <c r="E34" s="6">
        <f>D34/C34</f>
        <v/>
      </c>
      <c r="F34" s="5" t="n">
        <v>1630</v>
      </c>
      <c r="G34" s="5" t="n">
        <v>273</v>
      </c>
      <c r="H34" s="6">
        <f>G34/F34</f>
        <v/>
      </c>
    </row>
    <row r="35">
      <c r="A35" s="4" t="inlineStr">
        <is>
          <t>조경산업기사</t>
        </is>
      </c>
      <c r="B35" s="4" t="n">
        <v>2006</v>
      </c>
      <c r="C35" s="5" t="n">
        <v>4386</v>
      </c>
      <c r="D35" s="5" t="n">
        <v>1165</v>
      </c>
      <c r="E35" s="6">
        <f>D35/C35</f>
        <v/>
      </c>
      <c r="F35" s="5" t="n">
        <v>1709</v>
      </c>
      <c r="G35" s="5" t="n">
        <v>646</v>
      </c>
      <c r="H35" s="6">
        <f>G35/F35</f>
        <v/>
      </c>
    </row>
    <row r="36">
      <c r="A36" s="4" t="inlineStr">
        <is>
          <t>조경산업기사</t>
        </is>
      </c>
      <c r="B36" s="4" t="n">
        <v>2007</v>
      </c>
      <c r="C36" s="5" t="n">
        <v>4076</v>
      </c>
      <c r="D36" s="5" t="n">
        <v>1265</v>
      </c>
      <c r="E36" s="6">
        <f>D36/C36</f>
        <v/>
      </c>
      <c r="F36" s="5" t="n">
        <v>1905</v>
      </c>
      <c r="G36" s="5" t="n">
        <v>908</v>
      </c>
      <c r="H36" s="6">
        <f>G36/F36</f>
        <v/>
      </c>
    </row>
    <row r="37">
      <c r="A37" s="4" t="inlineStr">
        <is>
          <t>조경산업기사</t>
        </is>
      </c>
      <c r="B37" s="4" t="n">
        <v>2008</v>
      </c>
      <c r="C37" s="5" t="n">
        <v>4409</v>
      </c>
      <c r="D37" s="5" t="n">
        <v>1041</v>
      </c>
      <c r="E37" s="6">
        <f>D37/C37</f>
        <v/>
      </c>
      <c r="F37" s="5" t="n">
        <v>1703</v>
      </c>
      <c r="G37" s="5" t="n">
        <v>407</v>
      </c>
      <c r="H37" s="6">
        <f>G37/F37</f>
        <v/>
      </c>
    </row>
    <row r="38">
      <c r="A38" s="4" t="inlineStr">
        <is>
          <t>조경산업기사</t>
        </is>
      </c>
      <c r="B38" s="4" t="n">
        <v>2009</v>
      </c>
      <c r="C38" s="5" t="n">
        <v>5619</v>
      </c>
      <c r="D38" s="5" t="n">
        <v>1142</v>
      </c>
      <c r="E38" s="6">
        <f>D38/C38</f>
        <v/>
      </c>
      <c r="F38" s="5" t="n">
        <v>1640</v>
      </c>
      <c r="G38" s="5" t="n">
        <v>790</v>
      </c>
      <c r="H38" s="6">
        <f>G38/F38</f>
        <v/>
      </c>
    </row>
    <row r="39">
      <c r="A39" s="4" t="inlineStr">
        <is>
          <t>조경산업기사</t>
        </is>
      </c>
      <c r="B39" s="4" t="n">
        <v>2010</v>
      </c>
      <c r="C39" s="5" t="n">
        <v>7463</v>
      </c>
      <c r="D39" s="5" t="n">
        <v>754</v>
      </c>
      <c r="E39" s="6">
        <f>D39/C39</f>
        <v/>
      </c>
      <c r="F39" s="5" t="n">
        <v>1613</v>
      </c>
      <c r="G39" s="5" t="n">
        <v>519</v>
      </c>
      <c r="H39" s="6">
        <f>G39/F39</f>
        <v/>
      </c>
    </row>
    <row r="40">
      <c r="A40" s="4" t="inlineStr">
        <is>
          <t>조경산업기사</t>
        </is>
      </c>
      <c r="B40" s="4" t="n">
        <v>2011</v>
      </c>
      <c r="C40" s="5" t="n">
        <v>6942</v>
      </c>
      <c r="D40" s="5" t="n">
        <v>759</v>
      </c>
      <c r="E40" s="6">
        <f>D40/C40</f>
        <v/>
      </c>
      <c r="F40" s="5" t="n">
        <v>1230</v>
      </c>
      <c r="G40" s="5" t="n">
        <v>548</v>
      </c>
      <c r="H40" s="6">
        <f>G40/F40</f>
        <v/>
      </c>
    </row>
    <row r="41">
      <c r="A41" s="4" t="inlineStr">
        <is>
          <t>조경산업기사</t>
        </is>
      </c>
      <c r="B41" s="4" t="n">
        <v>2012</v>
      </c>
      <c r="C41" s="5" t="n">
        <v>6132</v>
      </c>
      <c r="D41" s="5" t="n">
        <v>751</v>
      </c>
      <c r="E41" s="6">
        <f>D41/C41</f>
        <v/>
      </c>
      <c r="F41" s="5" t="n">
        <v>999</v>
      </c>
      <c r="G41" s="5" t="n">
        <v>488</v>
      </c>
      <c r="H41" s="6">
        <f>G41/F41</f>
        <v/>
      </c>
    </row>
    <row r="42">
      <c r="A42" s="4" t="inlineStr">
        <is>
          <t>조경산업기사</t>
        </is>
      </c>
      <c r="B42" s="4" t="n">
        <v>2013</v>
      </c>
      <c r="C42" s="5" t="n">
        <v>4881</v>
      </c>
      <c r="D42" s="5" t="n">
        <v>747</v>
      </c>
      <c r="E42" s="6">
        <f>D42/C42</f>
        <v/>
      </c>
      <c r="F42" s="5" t="n">
        <v>1068</v>
      </c>
      <c r="G42" s="5" t="n">
        <v>384</v>
      </c>
      <c r="H42" s="6">
        <f>G42/F42</f>
        <v/>
      </c>
    </row>
    <row r="43">
      <c r="A43" s="4" t="inlineStr">
        <is>
          <t>조경산업기사</t>
        </is>
      </c>
      <c r="B43" s="4" t="n">
        <v>2014</v>
      </c>
      <c r="C43" s="5" t="n">
        <v>3995</v>
      </c>
      <c r="D43" s="5" t="n">
        <v>552</v>
      </c>
      <c r="E43" s="6">
        <f>D43/C43</f>
        <v/>
      </c>
      <c r="F43" s="5" t="n">
        <v>861</v>
      </c>
      <c r="G43" s="5" t="n">
        <v>460</v>
      </c>
      <c r="H43" s="6">
        <f>G43/F43</f>
        <v/>
      </c>
    </row>
    <row r="44">
      <c r="A44" s="4" t="inlineStr">
        <is>
          <t>조경산업기사</t>
        </is>
      </c>
      <c r="B44" s="4" t="n">
        <v>2015</v>
      </c>
      <c r="C44" s="5" t="n">
        <v>3188</v>
      </c>
      <c r="D44" s="5" t="n">
        <v>403</v>
      </c>
      <c r="E44" s="6">
        <f>D44/C44</f>
        <v/>
      </c>
      <c r="F44" s="5" t="n">
        <v>607</v>
      </c>
      <c r="G44" s="5" t="n">
        <v>188</v>
      </c>
      <c r="H44" s="6">
        <f>G44/F44</f>
        <v/>
      </c>
    </row>
    <row r="45">
      <c r="A45" s="4" t="inlineStr">
        <is>
          <t>조경산업기사</t>
        </is>
      </c>
      <c r="B45" s="4" t="n">
        <v>2016</v>
      </c>
      <c r="C45" s="5" t="n">
        <v>2854</v>
      </c>
      <c r="D45" s="5" t="n">
        <v>496</v>
      </c>
      <c r="E45" s="6">
        <f>D45/C45</f>
        <v/>
      </c>
      <c r="F45" s="5" t="n">
        <v>633</v>
      </c>
      <c r="G45" s="5" t="n">
        <v>219</v>
      </c>
      <c r="H45" s="6">
        <f>G45/F45</f>
        <v/>
      </c>
    </row>
    <row r="46">
      <c r="A46" s="4" t="inlineStr">
        <is>
          <t>조경산업기사</t>
        </is>
      </c>
      <c r="B46" s="4" t="n">
        <v>2017</v>
      </c>
      <c r="C46" s="5" t="n">
        <v>2435</v>
      </c>
      <c r="D46" s="5" t="n">
        <v>459</v>
      </c>
      <c r="E46" s="6">
        <f>D46/C46</f>
        <v/>
      </c>
      <c r="F46" s="5" t="n">
        <v>549</v>
      </c>
      <c r="G46" s="5" t="n">
        <v>192</v>
      </c>
      <c r="H46" s="6">
        <f>G46/F46</f>
        <v/>
      </c>
    </row>
    <row r="47">
      <c r="A47" s="4" t="inlineStr">
        <is>
          <t>조경산업기사</t>
        </is>
      </c>
      <c r="B47" s="4" t="n">
        <v>2018</v>
      </c>
      <c r="C47" s="5" t="n">
        <v>2130</v>
      </c>
      <c r="D47" s="5" t="n">
        <v>407</v>
      </c>
      <c r="E47" s="6">
        <f>D47/C47</f>
        <v/>
      </c>
      <c r="F47" s="5" t="n">
        <v>594</v>
      </c>
      <c r="G47" s="5" t="n">
        <v>247</v>
      </c>
      <c r="H47" s="6">
        <f>G47/F47</f>
        <v/>
      </c>
    </row>
    <row r="48">
      <c r="A48" s="4" t="inlineStr">
        <is>
          <t>조경산업기사</t>
        </is>
      </c>
      <c r="B48" s="4" t="n">
        <v>2019</v>
      </c>
      <c r="C48" s="5" t="n">
        <v>2157</v>
      </c>
      <c r="D48" s="5" t="n">
        <v>417</v>
      </c>
      <c r="E48" s="6">
        <f>D48/C48</f>
        <v/>
      </c>
      <c r="F48" s="5" t="n">
        <v>542</v>
      </c>
      <c r="G48" s="5" t="n">
        <v>178</v>
      </c>
      <c r="H48" s="6">
        <f>G48/F48</f>
        <v/>
      </c>
    </row>
    <row r="49">
      <c r="A49" s="4" t="inlineStr">
        <is>
          <t>조경산업기사</t>
        </is>
      </c>
      <c r="B49" s="4" t="n">
        <v>2020</v>
      </c>
      <c r="C49" s="5" t="n">
        <v>1834</v>
      </c>
      <c r="D49" s="5" t="n">
        <v>307</v>
      </c>
      <c r="E49" s="6">
        <f>D49/C49</f>
        <v/>
      </c>
      <c r="F49" s="5" t="n">
        <v>556</v>
      </c>
      <c r="G49" s="5" t="n">
        <v>164</v>
      </c>
      <c r="H49" s="6">
        <f>G49/F49</f>
        <v/>
      </c>
    </row>
    <row r="50">
      <c r="A50" s="4" t="inlineStr">
        <is>
          <t>조경산업기사</t>
        </is>
      </c>
      <c r="B50" s="4" t="n">
        <v>2021</v>
      </c>
      <c r="C50" s="5" t="n">
        <v>2219</v>
      </c>
      <c r="D50" s="5" t="n">
        <v>369</v>
      </c>
      <c r="E50" s="6">
        <f>D50/C50</f>
        <v/>
      </c>
      <c r="F50" s="5" t="n">
        <v>527</v>
      </c>
      <c r="G50" s="5" t="n">
        <v>195</v>
      </c>
      <c r="H50" s="6">
        <f>G50/F50</f>
        <v/>
      </c>
    </row>
    <row r="51">
      <c r="A51" s="4" t="inlineStr">
        <is>
          <t>조경산업기사</t>
        </is>
      </c>
      <c r="B51" s="4" t="n">
        <v>2022</v>
      </c>
      <c r="C51" s="5" t="n">
        <v>1903</v>
      </c>
      <c r="D51" s="5" t="n">
        <v>375</v>
      </c>
      <c r="E51" s="6">
        <f>D51/C51</f>
        <v/>
      </c>
      <c r="F51" s="5" t="n">
        <v>522</v>
      </c>
      <c r="G51" s="5" t="n">
        <v>179</v>
      </c>
      <c r="H51" s="6">
        <f>G51/F51</f>
        <v/>
      </c>
    </row>
    <row r="52">
      <c r="A52" s="4" t="inlineStr">
        <is>
          <t>조경산업기사</t>
        </is>
      </c>
      <c r="B52" s="4" t="n">
        <v>2023</v>
      </c>
      <c r="C52" s="5" t="n">
        <v>1874</v>
      </c>
      <c r="D52" s="5" t="n">
        <v>366</v>
      </c>
      <c r="E52" s="6">
        <f>D52/C52</f>
        <v/>
      </c>
      <c r="F52" s="5" t="n">
        <v>555</v>
      </c>
      <c r="G52" s="5" t="n">
        <v>136</v>
      </c>
      <c r="H52" s="6">
        <f>G52/F52</f>
        <v/>
      </c>
    </row>
    <row r="53">
      <c r="A53" s="4" t="inlineStr">
        <is>
          <t>조경산업기사</t>
        </is>
      </c>
      <c r="B53" s="4" t="n">
        <v>2024</v>
      </c>
      <c r="C53" s="5" t="n">
        <v>1757</v>
      </c>
      <c r="D53" s="5" t="n">
        <v>417</v>
      </c>
      <c r="E53" s="6">
        <f>D53/C53</f>
        <v/>
      </c>
      <c r="F53" s="5" t="n">
        <v>599</v>
      </c>
      <c r="G53" s="5" t="n">
        <v>249</v>
      </c>
      <c r="H53" s="6">
        <f>G53/F53</f>
        <v/>
      </c>
    </row>
    <row r="54">
      <c r="A54" s="4" t="inlineStr">
        <is>
          <t>조경산업기사</t>
        </is>
      </c>
      <c r="B54" s="4" t="n">
        <v>2025</v>
      </c>
      <c r="C54" s="5" t="n">
        <v>1595</v>
      </c>
      <c r="D54" s="5" t="n">
        <v>270</v>
      </c>
      <c r="E54" s="6">
        <f>D54/C54</f>
        <v/>
      </c>
      <c r="F54" s="5" t="n">
        <v>484</v>
      </c>
      <c r="G54" s="5" t="n">
        <v>54</v>
      </c>
      <c r="H54" s="6">
        <f>G54/F54</f>
        <v/>
      </c>
    </row>
    <row r="55">
      <c r="A55" s="4" t="inlineStr">
        <is>
          <t>조경기능사</t>
        </is>
      </c>
      <c r="B55" s="4" t="n">
        <v>2001</v>
      </c>
      <c r="C55" s="5" t="n">
        <v>1743</v>
      </c>
      <c r="D55" s="5" t="n">
        <v>661</v>
      </c>
      <c r="E55" s="6">
        <f>D55/C55</f>
        <v/>
      </c>
      <c r="F55" s="5" t="n">
        <v>1577</v>
      </c>
      <c r="G55" s="5" t="n">
        <v>1408</v>
      </c>
      <c r="H55" s="6">
        <f>G55/F55</f>
        <v/>
      </c>
    </row>
    <row r="56">
      <c r="A56" s="4" t="inlineStr">
        <is>
          <t>조경기능사</t>
        </is>
      </c>
      <c r="B56" s="4" t="n">
        <v>2002</v>
      </c>
      <c r="C56" s="5" t="n">
        <v>1275</v>
      </c>
      <c r="D56" s="5" t="n">
        <v>581</v>
      </c>
      <c r="E56" s="6">
        <f>D56/C56</f>
        <v/>
      </c>
      <c r="F56" s="5" t="n">
        <v>1298</v>
      </c>
      <c r="G56" s="5" t="n">
        <v>1075</v>
      </c>
      <c r="H56" s="6">
        <f>G56/F56</f>
        <v/>
      </c>
    </row>
    <row r="57">
      <c r="A57" s="4" t="inlineStr">
        <is>
          <t>조경기능사</t>
        </is>
      </c>
      <c r="B57" s="4" t="n">
        <v>2003</v>
      </c>
      <c r="C57" s="5" t="n">
        <v>1491</v>
      </c>
      <c r="D57" s="5" t="n">
        <v>606</v>
      </c>
      <c r="E57" s="6">
        <f>D57/C57</f>
        <v/>
      </c>
      <c r="F57" s="5" t="n">
        <v>1354</v>
      </c>
      <c r="G57" s="5" t="n">
        <v>1054</v>
      </c>
      <c r="H57" s="6">
        <f>G57/F57</f>
        <v/>
      </c>
    </row>
    <row r="58">
      <c r="A58" s="4" t="inlineStr">
        <is>
          <t>조경기능사</t>
        </is>
      </c>
      <c r="B58" s="4" t="n">
        <v>2004</v>
      </c>
      <c r="C58" s="5" t="n">
        <v>1735</v>
      </c>
      <c r="D58" s="5" t="n">
        <v>1011</v>
      </c>
      <c r="E58" s="6">
        <f>D58/C58</f>
        <v/>
      </c>
      <c r="F58" s="5" t="n">
        <v>1787</v>
      </c>
      <c r="G58" s="5" t="n">
        <v>1452</v>
      </c>
      <c r="H58" s="6">
        <f>G58/F58</f>
        <v/>
      </c>
    </row>
    <row r="59">
      <c r="A59" s="4" t="inlineStr">
        <is>
          <t>조경기능사</t>
        </is>
      </c>
      <c r="B59" s="4" t="n">
        <v>2005</v>
      </c>
      <c r="C59" s="5" t="n">
        <v>2974</v>
      </c>
      <c r="D59" s="5" t="n">
        <v>1719</v>
      </c>
      <c r="E59" s="6">
        <f>D59/C59</f>
        <v/>
      </c>
      <c r="F59" s="5" t="n">
        <v>2634</v>
      </c>
      <c r="G59" s="5" t="n">
        <v>2097</v>
      </c>
      <c r="H59" s="6">
        <f>G59/F59</f>
        <v/>
      </c>
    </row>
    <row r="60">
      <c r="A60" s="4" t="inlineStr">
        <is>
          <t>조경기능사</t>
        </is>
      </c>
      <c r="B60" s="4" t="n">
        <v>2006</v>
      </c>
      <c r="C60" s="5" t="n">
        <v>3404</v>
      </c>
      <c r="D60" s="5" t="n">
        <v>1534</v>
      </c>
      <c r="E60" s="6">
        <f>D60/C60</f>
        <v/>
      </c>
      <c r="F60" s="5" t="n">
        <v>2539</v>
      </c>
      <c r="G60" s="5" t="n">
        <v>1816</v>
      </c>
      <c r="H60" s="6">
        <f>G60/F60</f>
        <v/>
      </c>
    </row>
    <row r="61">
      <c r="A61" s="4" t="inlineStr">
        <is>
          <t>조경기능사</t>
        </is>
      </c>
      <c r="B61" s="4" t="n">
        <v>2007</v>
      </c>
      <c r="C61" s="5" t="n">
        <v>4596</v>
      </c>
      <c r="D61" s="5" t="n">
        <v>2840</v>
      </c>
      <c r="E61" s="6">
        <f>D61/C61</f>
        <v/>
      </c>
      <c r="F61" s="5" t="n">
        <v>3765</v>
      </c>
      <c r="G61" s="5" t="n">
        <v>2891</v>
      </c>
      <c r="H61" s="6">
        <f>G61/F61</f>
        <v/>
      </c>
    </row>
    <row r="62">
      <c r="A62" s="4" t="inlineStr">
        <is>
          <t>조경기능사</t>
        </is>
      </c>
      <c r="B62" s="4" t="n">
        <v>2008</v>
      </c>
      <c r="C62" s="5" t="n">
        <v>5278</v>
      </c>
      <c r="D62" s="5" t="n">
        <v>2935</v>
      </c>
      <c r="E62" s="6">
        <f>D62/C62</f>
        <v/>
      </c>
      <c r="F62" s="5" t="n">
        <v>4300</v>
      </c>
      <c r="G62" s="5" t="n">
        <v>2879</v>
      </c>
      <c r="H62" s="6">
        <f>G62/F62</f>
        <v/>
      </c>
    </row>
    <row r="63">
      <c r="A63" s="4" t="inlineStr">
        <is>
          <t>조경기능사</t>
        </is>
      </c>
      <c r="B63" s="4" t="n">
        <v>2009</v>
      </c>
      <c r="C63" s="5" t="n">
        <v>9422</v>
      </c>
      <c r="D63" s="5" t="n">
        <v>5329</v>
      </c>
      <c r="E63" s="6">
        <f>D63/C63</f>
        <v/>
      </c>
      <c r="F63" s="5" t="n">
        <v>6486</v>
      </c>
      <c r="G63" s="5" t="n">
        <v>5211</v>
      </c>
      <c r="H63" s="6">
        <f>G63/F63</f>
        <v/>
      </c>
    </row>
    <row r="64">
      <c r="A64" s="4" t="inlineStr">
        <is>
          <t>조경기능사</t>
        </is>
      </c>
      <c r="B64" s="4" t="n">
        <v>2010</v>
      </c>
      <c r="C64" s="5" t="n">
        <v>11276</v>
      </c>
      <c r="D64" s="5" t="n">
        <v>5496</v>
      </c>
      <c r="E64" s="6">
        <f>D64/C64</f>
        <v/>
      </c>
      <c r="F64" s="5" t="n">
        <v>6625</v>
      </c>
      <c r="G64" s="5" t="n">
        <v>5666</v>
      </c>
      <c r="H64" s="6">
        <f>G64/F64</f>
        <v/>
      </c>
    </row>
    <row r="65">
      <c r="A65" s="4" t="inlineStr">
        <is>
          <t>조경기능사</t>
        </is>
      </c>
      <c r="B65" s="4" t="n">
        <v>2011</v>
      </c>
      <c r="C65" s="5" t="n">
        <v>11606</v>
      </c>
      <c r="D65" s="5" t="n">
        <v>4292</v>
      </c>
      <c r="E65" s="6">
        <f>D65/C65</f>
        <v/>
      </c>
      <c r="F65" s="5" t="n">
        <v>5675</v>
      </c>
      <c r="G65" s="5" t="n">
        <v>4728</v>
      </c>
      <c r="H65" s="6">
        <f>G65/F65</f>
        <v/>
      </c>
    </row>
    <row r="66">
      <c r="A66" s="4" t="inlineStr">
        <is>
          <t>조경기능사</t>
        </is>
      </c>
      <c r="B66" s="4" t="n">
        <v>2012</v>
      </c>
      <c r="C66" s="5" t="n">
        <v>10246</v>
      </c>
      <c r="D66" s="5" t="n">
        <v>4156</v>
      </c>
      <c r="E66" s="6">
        <f>D66/C66</f>
        <v/>
      </c>
      <c r="F66" s="5" t="n">
        <v>5243</v>
      </c>
      <c r="G66" s="5" t="n">
        <v>4576</v>
      </c>
      <c r="H66" s="6">
        <f>G66/F66</f>
        <v/>
      </c>
    </row>
    <row r="67">
      <c r="A67" s="4" t="inlineStr">
        <is>
          <t>조경기능사</t>
        </is>
      </c>
      <c r="B67" s="4" t="n">
        <v>2013</v>
      </c>
      <c r="C67" s="5" t="n">
        <v>10561</v>
      </c>
      <c r="D67" s="5" t="n">
        <v>3725</v>
      </c>
      <c r="E67" s="6">
        <f>D67/C67</f>
        <v/>
      </c>
      <c r="F67" s="5" t="n">
        <v>4986</v>
      </c>
      <c r="G67" s="5" t="n">
        <v>4533</v>
      </c>
      <c r="H67" s="6">
        <f>G67/F67</f>
        <v/>
      </c>
    </row>
    <row r="68">
      <c r="A68" s="4" t="inlineStr">
        <is>
          <t>조경기능사</t>
        </is>
      </c>
      <c r="B68" s="4" t="n">
        <v>2014</v>
      </c>
      <c r="C68" s="5" t="n">
        <v>10166</v>
      </c>
      <c r="D68" s="5" t="n">
        <v>3441</v>
      </c>
      <c r="E68" s="6">
        <f>D68/C68</f>
        <v/>
      </c>
      <c r="F68" s="5" t="n">
        <v>4718</v>
      </c>
      <c r="G68" s="5" t="n">
        <v>4211</v>
      </c>
      <c r="H68" s="6">
        <f>G68/F68</f>
        <v/>
      </c>
    </row>
    <row r="69">
      <c r="A69" s="4" t="inlineStr">
        <is>
          <t>조경기능사</t>
        </is>
      </c>
      <c r="B69" s="4" t="n">
        <v>2015</v>
      </c>
      <c r="C69" s="5" t="n">
        <v>9844</v>
      </c>
      <c r="D69" s="5" t="n">
        <v>3967</v>
      </c>
      <c r="E69" s="6">
        <f>D69/C69</f>
        <v/>
      </c>
      <c r="F69" s="5" t="n">
        <v>4985</v>
      </c>
      <c r="G69" s="5" t="n">
        <v>4180</v>
      </c>
      <c r="H69" s="6">
        <f>G69/F69</f>
        <v/>
      </c>
    </row>
    <row r="70">
      <c r="A70" s="4" t="inlineStr">
        <is>
          <t>조경기능사</t>
        </is>
      </c>
      <c r="B70" s="4" t="n">
        <v>2016</v>
      </c>
      <c r="C70" s="5" t="n">
        <v>9222</v>
      </c>
      <c r="D70" s="5" t="n">
        <v>3979</v>
      </c>
      <c r="E70" s="6">
        <f>D70/C70</f>
        <v/>
      </c>
      <c r="F70" s="5" t="n">
        <v>4922</v>
      </c>
      <c r="G70" s="5" t="n">
        <v>4334</v>
      </c>
      <c r="H70" s="6">
        <f>G70/F70</f>
        <v/>
      </c>
    </row>
    <row r="71">
      <c r="A71" s="4" t="inlineStr">
        <is>
          <t>조경기능사</t>
        </is>
      </c>
      <c r="B71" s="4" t="n">
        <v>2017</v>
      </c>
      <c r="C71" s="5" t="n">
        <v>8951</v>
      </c>
      <c r="D71" s="5" t="n">
        <v>4359</v>
      </c>
      <c r="E71" s="6">
        <f>D71/C71</f>
        <v/>
      </c>
      <c r="F71" s="5" t="n">
        <v>5063</v>
      </c>
      <c r="G71" s="5" t="n">
        <v>4460</v>
      </c>
      <c r="H71" s="6">
        <f>G71/F71</f>
        <v/>
      </c>
    </row>
    <row r="72">
      <c r="A72" s="4" t="inlineStr">
        <is>
          <t>조경기능사</t>
        </is>
      </c>
      <c r="B72" s="4" t="n">
        <v>2018</v>
      </c>
      <c r="C72" s="5" t="n">
        <v>10656</v>
      </c>
      <c r="D72" s="5" t="n">
        <v>4480</v>
      </c>
      <c r="E72" s="6">
        <f>D72/C72</f>
        <v/>
      </c>
      <c r="F72" s="5" t="n">
        <v>5383</v>
      </c>
      <c r="G72" s="5" t="n">
        <v>5006</v>
      </c>
      <c r="H72" s="6">
        <f>G72/F72</f>
        <v/>
      </c>
    </row>
    <row r="73">
      <c r="A73" s="4" t="inlineStr">
        <is>
          <t>조경기능사</t>
        </is>
      </c>
      <c r="B73" s="4" t="n">
        <v>2019</v>
      </c>
      <c r="C73" s="5" t="n">
        <v>12842</v>
      </c>
      <c r="D73" s="5" t="n">
        <v>5229</v>
      </c>
      <c r="E73" s="6">
        <f>D73/C73</f>
        <v/>
      </c>
      <c r="F73" s="5" t="n">
        <v>5692</v>
      </c>
      <c r="G73" s="5" t="n">
        <v>5194</v>
      </c>
      <c r="H73" s="6">
        <f>G73/F73</f>
        <v/>
      </c>
    </row>
    <row r="74">
      <c r="A74" s="4" t="inlineStr">
        <is>
          <t>조경기능사</t>
        </is>
      </c>
      <c r="B74" s="4" t="n">
        <v>2020</v>
      </c>
      <c r="C74" s="5" t="n">
        <v>13443</v>
      </c>
      <c r="D74" s="5" t="n">
        <v>6241</v>
      </c>
      <c r="E74" s="6">
        <f>D74/C74</f>
        <v/>
      </c>
      <c r="F74" s="5" t="n">
        <v>6235</v>
      </c>
      <c r="G74" s="5" t="n">
        <v>5659</v>
      </c>
      <c r="H74" s="6">
        <f>G74/F74</f>
        <v/>
      </c>
    </row>
    <row r="75">
      <c r="A75" s="4" t="inlineStr">
        <is>
          <t>조경기능사</t>
        </is>
      </c>
      <c r="B75" s="4" t="n">
        <v>2021</v>
      </c>
      <c r="C75" s="5" t="n">
        <v>18092</v>
      </c>
      <c r="D75" s="5" t="n">
        <v>8401</v>
      </c>
      <c r="E75" s="6">
        <f>D75/C75</f>
        <v/>
      </c>
      <c r="F75" s="5" t="n">
        <v>8537</v>
      </c>
      <c r="G75" s="5" t="n">
        <v>7431</v>
      </c>
      <c r="H75" s="6">
        <f>G75/F75</f>
        <v/>
      </c>
    </row>
    <row r="76">
      <c r="A76" s="4" t="inlineStr">
        <is>
          <t>조경기능사</t>
        </is>
      </c>
      <c r="B76" s="4" t="n">
        <v>2022</v>
      </c>
      <c r="C76" s="5" t="n">
        <v>16486</v>
      </c>
      <c r="D76" s="5" t="n">
        <v>8681</v>
      </c>
      <c r="E76" s="6">
        <f>D76/C76</f>
        <v/>
      </c>
      <c r="F76" s="5" t="n">
        <v>8705</v>
      </c>
      <c r="G76" s="5" t="n">
        <v>7474</v>
      </c>
      <c r="H76" s="6">
        <f>G76/F76</f>
        <v/>
      </c>
    </row>
    <row r="77">
      <c r="A77" s="4" t="inlineStr">
        <is>
          <t>조경기능사</t>
        </is>
      </c>
      <c r="B77" s="4" t="n">
        <v>2023</v>
      </c>
      <c r="C77" s="5" t="n">
        <v>17970</v>
      </c>
      <c r="D77" s="5" t="n">
        <v>9282</v>
      </c>
      <c r="E77" s="6">
        <f>D77/C77</f>
        <v/>
      </c>
      <c r="F77" s="5" t="n">
        <v>8846</v>
      </c>
      <c r="G77" s="5" t="n">
        <v>7762</v>
      </c>
      <c r="H77" s="6">
        <f>G77/F77</f>
        <v/>
      </c>
    </row>
    <row r="78">
      <c r="A78" s="4" t="inlineStr">
        <is>
          <t>조경기능사</t>
        </is>
      </c>
      <c r="B78" s="4" t="n">
        <v>2024</v>
      </c>
      <c r="C78" s="5" t="n">
        <v>17243</v>
      </c>
      <c r="D78" s="5" t="n">
        <v>8260</v>
      </c>
      <c r="E78" s="6">
        <f>D78/C78</f>
        <v/>
      </c>
      <c r="F78" s="5" t="n">
        <v>8598</v>
      </c>
      <c r="G78" s="5" t="n">
        <v>6441</v>
      </c>
      <c r="H78" s="6">
        <f>G78/F78</f>
        <v/>
      </c>
    </row>
    <row r="79">
      <c r="A79" s="4" t="inlineStr">
        <is>
          <t>조경기능사</t>
        </is>
      </c>
      <c r="B79" s="4" t="n">
        <v>2025</v>
      </c>
      <c r="C79" s="5" t="n">
        <v>16335</v>
      </c>
      <c r="D79" s="5" t="n">
        <v>8158</v>
      </c>
      <c r="E79" s="6">
        <f>D79/C79</f>
        <v/>
      </c>
      <c r="F79" s="5" t="n">
        <v>8767</v>
      </c>
      <c r="G79" s="5" t="n">
        <v>6551</v>
      </c>
      <c r="H79" s="6">
        <f>G79/F79</f>
        <v/>
      </c>
    </row>
    <row r="80">
      <c r="A80" s="4" t="inlineStr">
        <is>
          <t>조경기술사</t>
        </is>
      </c>
      <c r="B80" s="4" t="n">
        <v>2001</v>
      </c>
      <c r="C80" s="5" t="n">
        <v>148</v>
      </c>
      <c r="D80" s="5" t="n">
        <v>10</v>
      </c>
      <c r="E80" s="6">
        <f>D80/C80</f>
        <v/>
      </c>
      <c r="F80" s="5" t="n">
        <v>15</v>
      </c>
      <c r="G80" s="5" t="n">
        <v>10</v>
      </c>
      <c r="H80" s="6">
        <f>G80/F80</f>
        <v/>
      </c>
    </row>
    <row r="81">
      <c r="A81" s="4" t="inlineStr">
        <is>
          <t>조경기술사</t>
        </is>
      </c>
      <c r="B81" s="4" t="n">
        <v>2002</v>
      </c>
      <c r="C81" s="5" t="n">
        <v>132</v>
      </c>
      <c r="D81" s="5" t="n">
        <v>11</v>
      </c>
      <c r="E81" s="6">
        <f>D81/C81</f>
        <v/>
      </c>
      <c r="F81" s="5" t="n">
        <v>16</v>
      </c>
      <c r="G81" s="5" t="n">
        <v>11</v>
      </c>
      <c r="H81" s="6">
        <f>G81/F81</f>
        <v/>
      </c>
    </row>
    <row r="82">
      <c r="A82" s="4" t="inlineStr">
        <is>
          <t>조경기술사</t>
        </is>
      </c>
      <c r="B82" s="4" t="n">
        <v>2003</v>
      </c>
      <c r="C82" s="5" t="n">
        <v>131</v>
      </c>
      <c r="D82" s="5" t="n">
        <v>11</v>
      </c>
      <c r="E82" s="6">
        <f>D82/C82</f>
        <v/>
      </c>
      <c r="F82" s="5" t="n">
        <v>12</v>
      </c>
      <c r="G82" s="5" t="n">
        <v>9</v>
      </c>
      <c r="H82" s="6">
        <f>G82/F82</f>
        <v/>
      </c>
    </row>
    <row r="83">
      <c r="A83" s="4" t="inlineStr">
        <is>
          <t>조경기술사</t>
        </is>
      </c>
      <c r="B83" s="4" t="n">
        <v>2004</v>
      </c>
      <c r="C83" s="5" t="n">
        <v>139</v>
      </c>
      <c r="D83" s="5" t="n">
        <v>8</v>
      </c>
      <c r="E83" s="6">
        <f>D83/C83</f>
        <v/>
      </c>
      <c r="F83" s="5" t="n">
        <v>11</v>
      </c>
      <c r="G83" s="5" t="n">
        <v>9</v>
      </c>
      <c r="H83" s="6">
        <f>G83/F83</f>
        <v/>
      </c>
    </row>
    <row r="84">
      <c r="A84" s="4" t="inlineStr">
        <is>
          <t>조경기술사</t>
        </is>
      </c>
      <c r="B84" s="4" t="n">
        <v>2005</v>
      </c>
      <c r="C84" s="5" t="n">
        <v>123</v>
      </c>
      <c r="D84" s="5" t="n">
        <v>7</v>
      </c>
      <c r="E84" s="6">
        <f>D84/C84</f>
        <v/>
      </c>
      <c r="F84" s="5" t="n">
        <v>7</v>
      </c>
      <c r="G84" s="5" t="n">
        <v>6</v>
      </c>
      <c r="H84" s="6">
        <f>G84/F84</f>
        <v/>
      </c>
    </row>
    <row r="85">
      <c r="A85" s="4" t="inlineStr">
        <is>
          <t>조경기술사</t>
        </is>
      </c>
      <c r="B85" s="4" t="n">
        <v>2006</v>
      </c>
      <c r="C85" s="5" t="n">
        <v>167</v>
      </c>
      <c r="D85" s="5" t="n">
        <v>10</v>
      </c>
      <c r="E85" s="6">
        <f>D85/C85</f>
        <v/>
      </c>
      <c r="F85" s="5" t="n">
        <v>16</v>
      </c>
      <c r="G85" s="5" t="n">
        <v>10</v>
      </c>
      <c r="H85" s="6">
        <f>G85/F85</f>
        <v/>
      </c>
    </row>
    <row r="86">
      <c r="A86" s="4" t="inlineStr">
        <is>
          <t>조경기술사</t>
        </is>
      </c>
      <c r="B86" s="4" t="n">
        <v>2007</v>
      </c>
      <c r="C86" s="5" t="n">
        <v>203</v>
      </c>
      <c r="D86" s="5" t="n">
        <v>15</v>
      </c>
      <c r="E86" s="6">
        <f>D86/C86</f>
        <v/>
      </c>
      <c r="F86" s="5" t="n">
        <v>17</v>
      </c>
      <c r="G86" s="5" t="n">
        <v>11</v>
      </c>
      <c r="H86" s="6">
        <f>G86/F86</f>
        <v/>
      </c>
    </row>
    <row r="87">
      <c r="A87" s="4" t="inlineStr">
        <is>
          <t>조경기술사</t>
        </is>
      </c>
      <c r="B87" s="4" t="n">
        <v>2008</v>
      </c>
      <c r="C87" s="5" t="n">
        <v>238</v>
      </c>
      <c r="D87" s="5" t="n">
        <v>4</v>
      </c>
      <c r="E87" s="6">
        <f>D87/C87</f>
        <v/>
      </c>
      <c r="F87" s="5" t="n">
        <v>14</v>
      </c>
      <c r="G87" s="5" t="n">
        <v>9</v>
      </c>
      <c r="H87" s="6">
        <f>G87/F87</f>
        <v/>
      </c>
    </row>
    <row r="88">
      <c r="A88" s="4" t="inlineStr">
        <is>
          <t>조경기술사</t>
        </is>
      </c>
      <c r="B88" s="4" t="n">
        <v>2009</v>
      </c>
      <c r="C88" s="5" t="n">
        <v>277</v>
      </c>
      <c r="D88" s="5" t="n">
        <v>18</v>
      </c>
      <c r="E88" s="6">
        <f>D88/C88</f>
        <v/>
      </c>
      <c r="F88" s="5" t="n">
        <v>25</v>
      </c>
      <c r="G88" s="5" t="n">
        <v>16</v>
      </c>
      <c r="H88" s="6">
        <f>G88/F88</f>
        <v/>
      </c>
    </row>
    <row r="89">
      <c r="A89" s="4" t="inlineStr">
        <is>
          <t>조경기술사</t>
        </is>
      </c>
      <c r="B89" s="4" t="n">
        <v>2010</v>
      </c>
      <c r="C89" s="5" t="n">
        <v>385</v>
      </c>
      <c r="D89" s="5" t="n">
        <v>14</v>
      </c>
      <c r="E89" s="6">
        <f>D89/C89</f>
        <v/>
      </c>
      <c r="F89" s="5" t="n">
        <v>28</v>
      </c>
      <c r="G89" s="5" t="n">
        <v>13</v>
      </c>
      <c r="H89" s="6">
        <f>G89/F89</f>
        <v/>
      </c>
    </row>
    <row r="90">
      <c r="A90" s="4" t="inlineStr">
        <is>
          <t>조경기술사</t>
        </is>
      </c>
      <c r="B90" s="4" t="n">
        <v>2011</v>
      </c>
      <c r="C90" s="5" t="n">
        <v>389</v>
      </c>
      <c r="D90" s="5" t="n">
        <v>11</v>
      </c>
      <c r="E90" s="6">
        <f>D90/C90</f>
        <v/>
      </c>
      <c r="F90" s="5" t="n">
        <v>19</v>
      </c>
      <c r="G90" s="5" t="n">
        <v>14</v>
      </c>
      <c r="H90" s="6">
        <f>G90/F90</f>
        <v/>
      </c>
    </row>
    <row r="91">
      <c r="A91" s="4" t="inlineStr">
        <is>
          <t>조경기술사</t>
        </is>
      </c>
      <c r="B91" s="4" t="n">
        <v>2012</v>
      </c>
      <c r="C91" s="5" t="n">
        <v>390</v>
      </c>
      <c r="D91" s="5" t="n">
        <v>13</v>
      </c>
      <c r="E91" s="6">
        <f>D91/C91</f>
        <v/>
      </c>
      <c r="F91" s="5" t="n">
        <v>13</v>
      </c>
      <c r="G91" s="5" t="n">
        <v>12</v>
      </c>
      <c r="H91" s="6">
        <f>G91/F91</f>
        <v/>
      </c>
    </row>
    <row r="92">
      <c r="A92" s="4" t="inlineStr">
        <is>
          <t>조경기술사</t>
        </is>
      </c>
      <c r="B92" s="4" t="n">
        <v>2013</v>
      </c>
      <c r="C92" s="5" t="n">
        <v>345</v>
      </c>
      <c r="D92" s="5" t="n">
        <v>12</v>
      </c>
      <c r="E92" s="6">
        <f>D92/C92</f>
        <v/>
      </c>
      <c r="F92" s="5" t="n">
        <v>15</v>
      </c>
      <c r="G92" s="5" t="n">
        <v>11</v>
      </c>
      <c r="H92" s="6">
        <f>G92/F92</f>
        <v/>
      </c>
    </row>
    <row r="93">
      <c r="A93" s="4" t="inlineStr">
        <is>
          <t>조경기술사</t>
        </is>
      </c>
      <c r="B93" s="4" t="n">
        <v>2014</v>
      </c>
      <c r="C93" s="5" t="n">
        <v>308</v>
      </c>
      <c r="D93" s="5" t="n">
        <v>12</v>
      </c>
      <c r="E93" s="6">
        <f>D93/C93</f>
        <v/>
      </c>
      <c r="F93" s="5" t="n">
        <v>18</v>
      </c>
      <c r="G93" s="5" t="n">
        <v>12</v>
      </c>
      <c r="H93" s="6">
        <f>G93/F93</f>
        <v/>
      </c>
    </row>
    <row r="94">
      <c r="A94" s="4" t="inlineStr">
        <is>
          <t>조경기술사</t>
        </is>
      </c>
      <c r="B94" s="4" t="n">
        <v>2015</v>
      </c>
      <c r="C94" s="5" t="n">
        <v>228</v>
      </c>
      <c r="D94" s="5" t="n">
        <v>15</v>
      </c>
      <c r="E94" s="6">
        <f>D94/C94</f>
        <v/>
      </c>
      <c r="F94" s="5" t="n">
        <v>23</v>
      </c>
      <c r="G94" s="5" t="n">
        <v>15</v>
      </c>
      <c r="H94" s="6">
        <f>G94/F94</f>
        <v/>
      </c>
    </row>
    <row r="95">
      <c r="A95" s="4" t="inlineStr">
        <is>
          <t>조경기술사</t>
        </is>
      </c>
      <c r="B95" s="4" t="n">
        <v>2016</v>
      </c>
      <c r="C95" s="5" t="n">
        <v>178</v>
      </c>
      <c r="D95" s="5" t="n">
        <v>8</v>
      </c>
      <c r="E95" s="6">
        <f>D95/C95</f>
        <v/>
      </c>
      <c r="F95" s="5" t="n">
        <v>13</v>
      </c>
      <c r="G95" s="5" t="n">
        <v>8</v>
      </c>
      <c r="H95" s="6">
        <f>G95/F95</f>
        <v/>
      </c>
    </row>
    <row r="96">
      <c r="A96" s="4" t="inlineStr">
        <is>
          <t>조경기술사</t>
        </is>
      </c>
      <c r="B96" s="4" t="n">
        <v>2017</v>
      </c>
      <c r="C96" s="5" t="n">
        <v>168</v>
      </c>
      <c r="D96" s="5" t="n">
        <v>11</v>
      </c>
      <c r="E96" s="6">
        <f>D96/C96</f>
        <v/>
      </c>
      <c r="F96" s="5" t="n">
        <v>18</v>
      </c>
      <c r="G96" s="5" t="n">
        <v>12</v>
      </c>
      <c r="H96" s="6">
        <f>G96/F96</f>
        <v/>
      </c>
    </row>
    <row r="97">
      <c r="A97" s="4" t="inlineStr">
        <is>
          <t>조경기술사</t>
        </is>
      </c>
      <c r="B97" s="4" t="n">
        <v>2018</v>
      </c>
      <c r="C97" s="5" t="n">
        <v>189</v>
      </c>
      <c r="D97" s="5" t="n">
        <v>13</v>
      </c>
      <c r="E97" s="6">
        <f>D97/C97</f>
        <v/>
      </c>
      <c r="F97" s="5" t="n">
        <v>16</v>
      </c>
      <c r="G97" s="5" t="n">
        <v>12</v>
      </c>
      <c r="H97" s="6">
        <f>G97/F97</f>
        <v/>
      </c>
    </row>
    <row r="98">
      <c r="A98" s="4" t="inlineStr">
        <is>
          <t>조경기술사</t>
        </is>
      </c>
      <c r="B98" s="4" t="n">
        <v>2019</v>
      </c>
      <c r="C98" s="5" t="n">
        <v>132</v>
      </c>
      <c r="D98" s="5" t="n">
        <v>31</v>
      </c>
      <c r="E98" s="6">
        <f>D98/C98</f>
        <v/>
      </c>
      <c r="F98" s="5" t="n">
        <v>40</v>
      </c>
      <c r="G98" s="5" t="n">
        <v>23</v>
      </c>
      <c r="H98" s="6">
        <f>G98/F98</f>
        <v/>
      </c>
    </row>
    <row r="99">
      <c r="A99" s="4" t="inlineStr">
        <is>
          <t>조경기술사</t>
        </is>
      </c>
      <c r="B99" s="4" t="n">
        <v>2020</v>
      </c>
      <c r="C99" s="5" t="n">
        <v>157</v>
      </c>
      <c r="D99" s="5" t="n">
        <v>16</v>
      </c>
      <c r="E99" s="6">
        <f>D99/C99</f>
        <v/>
      </c>
      <c r="F99" s="5" t="n">
        <v>32</v>
      </c>
      <c r="G99" s="5" t="n">
        <v>21</v>
      </c>
      <c r="H99" s="6">
        <f>G99/F99</f>
        <v/>
      </c>
    </row>
    <row r="100">
      <c r="A100" s="4" t="inlineStr">
        <is>
          <t>조경기술사</t>
        </is>
      </c>
      <c r="B100" s="4" t="n">
        <v>2021</v>
      </c>
      <c r="C100" s="5" t="n">
        <v>179</v>
      </c>
      <c r="D100" s="5" t="n">
        <v>22</v>
      </c>
      <c r="E100" s="6">
        <f>D100/C100</f>
        <v/>
      </c>
      <c r="F100" s="5" t="n">
        <v>36</v>
      </c>
      <c r="G100" s="5" t="n">
        <v>15</v>
      </c>
      <c r="H100" s="6">
        <f>G100/F100</f>
        <v/>
      </c>
    </row>
    <row r="101">
      <c r="A101" s="4" t="inlineStr">
        <is>
          <t>조경기술사</t>
        </is>
      </c>
      <c r="B101" s="4" t="n">
        <v>2022</v>
      </c>
      <c r="C101" s="5" t="n">
        <v>147</v>
      </c>
      <c r="D101" s="5" t="n">
        <v>9</v>
      </c>
      <c r="E101" s="6">
        <f>D101/C101</f>
        <v/>
      </c>
      <c r="F101" s="5" t="n">
        <v>21</v>
      </c>
      <c r="G101" s="5" t="n">
        <v>18</v>
      </c>
      <c r="H101" s="6">
        <f>G101/F101</f>
        <v/>
      </c>
    </row>
    <row r="102">
      <c r="A102" s="4" t="inlineStr">
        <is>
          <t>조경기술사</t>
        </is>
      </c>
      <c r="B102" s="4" t="n">
        <v>2023</v>
      </c>
      <c r="C102" s="5" t="n">
        <v>178</v>
      </c>
      <c r="D102" s="5" t="n">
        <v>50</v>
      </c>
      <c r="E102" s="6">
        <f>D102/C102</f>
        <v/>
      </c>
      <c r="F102" s="5" t="n">
        <v>56</v>
      </c>
      <c r="G102" s="5" t="n">
        <v>25</v>
      </c>
      <c r="H102" s="6">
        <f>G102/F102</f>
        <v/>
      </c>
    </row>
    <row r="103">
      <c r="A103" s="4" t="inlineStr">
        <is>
          <t>조경기술사</t>
        </is>
      </c>
      <c r="B103" s="4" t="n">
        <v>2024</v>
      </c>
      <c r="C103" s="5" t="n">
        <v>206</v>
      </c>
      <c r="D103" s="5" t="n">
        <v>5</v>
      </c>
      <c r="E103" s="6">
        <f>D103/C103</f>
        <v/>
      </c>
      <c r="F103" s="5" t="n">
        <v>51</v>
      </c>
      <c r="G103" s="5" t="n">
        <v>22</v>
      </c>
      <c r="H103" s="6">
        <f>G103/F103</f>
        <v/>
      </c>
    </row>
    <row r="104">
      <c r="A104" s="4" t="inlineStr">
        <is>
          <t>조경기술사</t>
        </is>
      </c>
      <c r="B104" s="4" t="n">
        <v>2025</v>
      </c>
      <c r="C104" s="5" t="n">
        <v>222</v>
      </c>
      <c r="D104" s="5" t="n">
        <v>13</v>
      </c>
      <c r="E104" s="6">
        <f>D104/C104</f>
        <v/>
      </c>
      <c r="F104" s="5" t="n">
        <v>26</v>
      </c>
      <c r="G104" s="5" t="n">
        <v>12</v>
      </c>
      <c r="H104" s="6">
        <f>G104/F104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산림·식물보호 국가자격 검정 현황 (2015~2025)</t>
        </is>
      </c>
    </row>
    <row r="2">
      <c r="A2" s="2" t="inlineStr">
        <is>
          <t>출처: 한국산업인력공단 Q-Net 「종목별 검정현황」. 조경 자격과의 비교를 위해 매거진그린이 수집.</t>
        </is>
      </c>
    </row>
    <row r="4">
      <c r="A4" s="3" t="inlineStr">
        <is>
          <t>종목</t>
        </is>
      </c>
      <c r="B4" s="3" t="inlineStr">
        <is>
          <t>연도</t>
        </is>
      </c>
      <c r="C4" s="3" t="inlineStr">
        <is>
          <t>필기 응시</t>
        </is>
      </c>
      <c r="D4" s="3" t="inlineStr">
        <is>
          <t>필기 합격</t>
        </is>
      </c>
      <c r="E4" s="3" t="inlineStr">
        <is>
          <t>필기 합격률</t>
        </is>
      </c>
      <c r="F4" s="3" t="inlineStr">
        <is>
          <t>실기 응시</t>
        </is>
      </c>
      <c r="G4" s="3" t="inlineStr">
        <is>
          <t>실기 합격</t>
        </is>
      </c>
      <c r="H4" s="3" t="inlineStr">
        <is>
          <t>실기 합격률</t>
        </is>
      </c>
    </row>
    <row r="5">
      <c r="A5" s="4" t="inlineStr">
        <is>
          <t>산림기사</t>
        </is>
      </c>
      <c r="B5" s="4" t="n">
        <v>2015</v>
      </c>
      <c r="C5" s="5" t="n">
        <v>4881</v>
      </c>
      <c r="D5" s="5" t="n">
        <v>958</v>
      </c>
      <c r="E5" s="6">
        <f>D5/C5</f>
        <v/>
      </c>
      <c r="F5" s="5" t="n">
        <v>2089</v>
      </c>
      <c r="G5" s="5" t="n">
        <v>937</v>
      </c>
      <c r="H5" s="6">
        <f>G5/F5</f>
        <v/>
      </c>
    </row>
    <row r="6">
      <c r="A6" s="4" t="inlineStr">
        <is>
          <t>산림기사</t>
        </is>
      </c>
      <c r="B6" s="4" t="n">
        <v>2016</v>
      </c>
      <c r="C6" s="5" t="n">
        <v>5026</v>
      </c>
      <c r="D6" s="5" t="n">
        <v>1515</v>
      </c>
      <c r="E6" s="6">
        <f>D6/C6</f>
        <v/>
      </c>
      <c r="F6" s="5" t="n">
        <v>2420</v>
      </c>
      <c r="G6" s="5" t="n">
        <v>748</v>
      </c>
      <c r="H6" s="6">
        <f>G6/F6</f>
        <v/>
      </c>
    </row>
    <row r="7">
      <c r="A7" s="4" t="inlineStr">
        <is>
          <t>산림기사</t>
        </is>
      </c>
      <c r="B7" s="4" t="n">
        <v>2017</v>
      </c>
      <c r="C7" s="5" t="n">
        <v>4213</v>
      </c>
      <c r="D7" s="5" t="n">
        <v>1686</v>
      </c>
      <c r="E7" s="6">
        <f>D7/C7</f>
        <v/>
      </c>
      <c r="F7" s="5" t="n">
        <v>3118</v>
      </c>
      <c r="G7" s="5" t="n">
        <v>1406</v>
      </c>
      <c r="H7" s="6">
        <f>G7/F7</f>
        <v/>
      </c>
    </row>
    <row r="8">
      <c r="A8" s="4" t="inlineStr">
        <is>
          <t>산림기사</t>
        </is>
      </c>
      <c r="B8" s="4" t="n">
        <v>2018</v>
      </c>
      <c r="C8" s="5" t="n">
        <v>4451</v>
      </c>
      <c r="D8" s="5" t="n">
        <v>1458</v>
      </c>
      <c r="E8" s="6">
        <f>D8/C8</f>
        <v/>
      </c>
      <c r="F8" s="5" t="n">
        <v>2463</v>
      </c>
      <c r="G8" s="5" t="n">
        <v>1527</v>
      </c>
      <c r="H8" s="6">
        <f>G8/F8</f>
        <v/>
      </c>
    </row>
    <row r="9">
      <c r="A9" s="4" t="inlineStr">
        <is>
          <t>산림기사</t>
        </is>
      </c>
      <c r="B9" s="4" t="n">
        <v>2019</v>
      </c>
      <c r="C9" s="5" t="n">
        <v>4876</v>
      </c>
      <c r="D9" s="5" t="n">
        <v>1794</v>
      </c>
      <c r="E9" s="6">
        <f>D9/C9</f>
        <v/>
      </c>
      <c r="F9" s="5" t="n">
        <v>2721</v>
      </c>
      <c r="G9" s="5" t="n">
        <v>1517</v>
      </c>
      <c r="H9" s="6">
        <f>G9/F9</f>
        <v/>
      </c>
    </row>
    <row r="10">
      <c r="A10" s="4" t="inlineStr">
        <is>
          <t>산림기사</t>
        </is>
      </c>
      <c r="B10" s="4" t="n">
        <v>2020</v>
      </c>
      <c r="C10" s="5" t="n">
        <v>4778</v>
      </c>
      <c r="D10" s="5" t="n">
        <v>1669</v>
      </c>
      <c r="E10" s="6">
        <f>D10/C10</f>
        <v/>
      </c>
      <c r="F10" s="5" t="n">
        <v>2329</v>
      </c>
      <c r="G10" s="5" t="n">
        <v>1685</v>
      </c>
      <c r="H10" s="6">
        <f>G10/F10</f>
        <v/>
      </c>
    </row>
    <row r="11">
      <c r="A11" s="4" t="inlineStr">
        <is>
          <t>산림기사</t>
        </is>
      </c>
      <c r="B11" s="4" t="n">
        <v>2021</v>
      </c>
      <c r="C11" s="5" t="n">
        <v>5749</v>
      </c>
      <c r="D11" s="5" t="n">
        <v>2083</v>
      </c>
      <c r="E11" s="6">
        <f>D11/C11</f>
        <v/>
      </c>
      <c r="F11" s="5" t="n">
        <v>2364</v>
      </c>
      <c r="G11" s="5" t="n">
        <v>1626</v>
      </c>
      <c r="H11" s="6">
        <f>G11/F11</f>
        <v/>
      </c>
    </row>
    <row r="12">
      <c r="A12" s="4" t="inlineStr">
        <is>
          <t>산림기사</t>
        </is>
      </c>
      <c r="B12" s="4" t="n">
        <v>2022</v>
      </c>
      <c r="C12" s="5" t="n">
        <v>5057</v>
      </c>
      <c r="D12" s="5" t="n">
        <v>2259</v>
      </c>
      <c r="E12" s="6">
        <f>D12/C12</f>
        <v/>
      </c>
      <c r="F12" s="5" t="n">
        <v>3071</v>
      </c>
      <c r="G12" s="5" t="n">
        <v>1453</v>
      </c>
      <c r="H12" s="6">
        <f>G12/F12</f>
        <v/>
      </c>
    </row>
    <row r="13">
      <c r="A13" s="4" t="inlineStr">
        <is>
          <t>산림기사</t>
        </is>
      </c>
      <c r="B13" s="4" t="n">
        <v>2023</v>
      </c>
      <c r="C13" s="5" t="n">
        <v>5891</v>
      </c>
      <c r="D13" s="5" t="n">
        <v>2915</v>
      </c>
      <c r="E13" s="6">
        <f>D13/C13</f>
        <v/>
      </c>
      <c r="F13" s="5" t="n">
        <v>4429</v>
      </c>
      <c r="G13" s="5" t="n">
        <v>2525</v>
      </c>
      <c r="H13" s="6">
        <f>G13/F13</f>
        <v/>
      </c>
    </row>
    <row r="14">
      <c r="A14" s="4" t="inlineStr">
        <is>
          <t>산림기사</t>
        </is>
      </c>
      <c r="B14" s="4" t="n">
        <v>2024</v>
      </c>
      <c r="C14" s="5" t="n">
        <v>5991</v>
      </c>
      <c r="D14" s="5" t="n">
        <v>2899</v>
      </c>
      <c r="E14" s="6">
        <f>D14/C14</f>
        <v/>
      </c>
      <c r="F14" s="5" t="n">
        <v>3946</v>
      </c>
      <c r="G14" s="5" t="n">
        <v>2461</v>
      </c>
      <c r="H14" s="6">
        <f>G14/F14</f>
        <v/>
      </c>
    </row>
    <row r="15">
      <c r="A15" s="4" t="inlineStr">
        <is>
          <t>산림기사</t>
        </is>
      </c>
      <c r="B15" s="4" t="n">
        <v>2025</v>
      </c>
      <c r="C15" s="5" t="n">
        <v>6139</v>
      </c>
      <c r="D15" s="5" t="n">
        <v>2947</v>
      </c>
      <c r="E15" s="6">
        <f>D15/C15</f>
        <v/>
      </c>
      <c r="F15" s="5" t="n">
        <v>4603</v>
      </c>
      <c r="G15" s="5" t="n">
        <v>1637</v>
      </c>
      <c r="H15" s="6">
        <f>G15/F15</f>
        <v/>
      </c>
    </row>
    <row r="16">
      <c r="A16" s="4" t="inlineStr">
        <is>
          <t>산림산업기사</t>
        </is>
      </c>
      <c r="B16" s="4" t="n">
        <v>2015</v>
      </c>
      <c r="C16" s="5" t="n">
        <v>2077</v>
      </c>
      <c r="D16" s="5" t="n">
        <v>429</v>
      </c>
      <c r="E16" s="6">
        <f>D16/C16</f>
        <v/>
      </c>
      <c r="F16" s="5" t="n">
        <v>780</v>
      </c>
      <c r="G16" s="5" t="n">
        <v>233</v>
      </c>
      <c r="H16" s="6">
        <f>G16/F16</f>
        <v/>
      </c>
    </row>
    <row r="17">
      <c r="A17" s="4" t="inlineStr">
        <is>
          <t>산림산업기사</t>
        </is>
      </c>
      <c r="B17" s="4" t="n">
        <v>2016</v>
      </c>
      <c r="C17" s="5" t="n">
        <v>2084</v>
      </c>
      <c r="D17" s="5" t="n">
        <v>452</v>
      </c>
      <c r="E17" s="6">
        <f>D17/C17</f>
        <v/>
      </c>
      <c r="F17" s="5" t="n">
        <v>748</v>
      </c>
      <c r="G17" s="5" t="n">
        <v>227</v>
      </c>
      <c r="H17" s="6">
        <f>G17/F17</f>
        <v/>
      </c>
    </row>
    <row r="18">
      <c r="A18" s="4" t="inlineStr">
        <is>
          <t>산림산업기사</t>
        </is>
      </c>
      <c r="B18" s="4" t="n">
        <v>2017</v>
      </c>
      <c r="C18" s="5" t="n">
        <v>1726</v>
      </c>
      <c r="D18" s="5" t="n">
        <v>639</v>
      </c>
      <c r="E18" s="6">
        <f>D18/C18</f>
        <v/>
      </c>
      <c r="F18" s="5" t="n">
        <v>919</v>
      </c>
      <c r="G18" s="5" t="n">
        <v>403</v>
      </c>
      <c r="H18" s="6">
        <f>G18/F18</f>
        <v/>
      </c>
    </row>
    <row r="19">
      <c r="A19" s="4" t="inlineStr">
        <is>
          <t>산림산업기사</t>
        </is>
      </c>
      <c r="B19" s="4" t="n">
        <v>2018</v>
      </c>
      <c r="C19" s="5" t="n">
        <v>1529</v>
      </c>
      <c r="D19" s="5" t="n">
        <v>537</v>
      </c>
      <c r="E19" s="6">
        <f>D19/C19</f>
        <v/>
      </c>
      <c r="F19" s="5" t="n">
        <v>733</v>
      </c>
      <c r="G19" s="5" t="n">
        <v>364</v>
      </c>
      <c r="H19" s="6">
        <f>G19/F19</f>
        <v/>
      </c>
    </row>
    <row r="20">
      <c r="A20" s="4" t="inlineStr">
        <is>
          <t>산림산업기사</t>
        </is>
      </c>
      <c r="B20" s="4" t="n">
        <v>2019</v>
      </c>
      <c r="C20" s="5" t="n">
        <v>1519</v>
      </c>
      <c r="D20" s="5" t="n">
        <v>492</v>
      </c>
      <c r="E20" s="6">
        <f>D20/C20</f>
        <v/>
      </c>
      <c r="F20" s="5" t="n">
        <v>716</v>
      </c>
      <c r="G20" s="5" t="n">
        <v>331</v>
      </c>
      <c r="H20" s="6">
        <f>G20/F20</f>
        <v/>
      </c>
    </row>
    <row r="21">
      <c r="A21" s="4" t="inlineStr">
        <is>
          <t>산림산업기사</t>
        </is>
      </c>
      <c r="B21" s="4" t="n">
        <v>2020</v>
      </c>
      <c r="C21" s="5" t="n">
        <v>1533</v>
      </c>
      <c r="D21" s="5" t="n">
        <v>644</v>
      </c>
      <c r="E21" s="6">
        <f>D21/C21</f>
        <v/>
      </c>
      <c r="F21" s="5" t="n">
        <v>867</v>
      </c>
      <c r="G21" s="5" t="n">
        <v>415</v>
      </c>
      <c r="H21" s="6">
        <f>G21/F21</f>
        <v/>
      </c>
    </row>
    <row r="22">
      <c r="A22" s="4" t="inlineStr">
        <is>
          <t>산림산업기사</t>
        </is>
      </c>
      <c r="B22" s="4" t="n">
        <v>2021</v>
      </c>
      <c r="C22" s="5" t="n">
        <v>1856</v>
      </c>
      <c r="D22" s="5" t="n">
        <v>745</v>
      </c>
      <c r="E22" s="6">
        <f>D22/C22</f>
        <v/>
      </c>
      <c r="F22" s="5" t="n">
        <v>869</v>
      </c>
      <c r="G22" s="5" t="n">
        <v>570</v>
      </c>
      <c r="H22" s="6">
        <f>G22/F22</f>
        <v/>
      </c>
    </row>
    <row r="23">
      <c r="A23" s="4" t="inlineStr">
        <is>
          <t>산림산업기사</t>
        </is>
      </c>
      <c r="B23" s="4" t="n">
        <v>2022</v>
      </c>
      <c r="C23" s="5" t="n">
        <v>1782</v>
      </c>
      <c r="D23" s="5" t="n">
        <v>636</v>
      </c>
      <c r="E23" s="6">
        <f>D23/C23</f>
        <v/>
      </c>
      <c r="F23" s="5" t="n">
        <v>922</v>
      </c>
      <c r="G23" s="5" t="n">
        <v>461</v>
      </c>
      <c r="H23" s="6">
        <f>G23/F23</f>
        <v/>
      </c>
    </row>
    <row r="24">
      <c r="A24" s="4" t="inlineStr">
        <is>
          <t>산림산업기사</t>
        </is>
      </c>
      <c r="B24" s="4" t="n">
        <v>2023</v>
      </c>
      <c r="C24" s="5" t="n">
        <v>1619</v>
      </c>
      <c r="D24" s="5" t="n">
        <v>626</v>
      </c>
      <c r="E24" s="6">
        <f>D24/C24</f>
        <v/>
      </c>
      <c r="F24" s="5" t="n">
        <v>800</v>
      </c>
      <c r="G24" s="5" t="n">
        <v>489</v>
      </c>
      <c r="H24" s="6">
        <f>G24/F24</f>
        <v/>
      </c>
    </row>
    <row r="25">
      <c r="A25" s="4" t="inlineStr">
        <is>
          <t>산림산업기사</t>
        </is>
      </c>
      <c r="B25" s="4" t="n">
        <v>2024</v>
      </c>
      <c r="C25" s="5" t="n">
        <v>1629</v>
      </c>
      <c r="D25" s="5" t="n">
        <v>622</v>
      </c>
      <c r="E25" s="6">
        <f>D25/C25</f>
        <v/>
      </c>
      <c r="F25" s="5" t="n">
        <v>760</v>
      </c>
      <c r="G25" s="5" t="n">
        <v>461</v>
      </c>
      <c r="H25" s="6">
        <f>G25/F25</f>
        <v/>
      </c>
    </row>
    <row r="26">
      <c r="A26" s="4" t="inlineStr">
        <is>
          <t>산림산업기사</t>
        </is>
      </c>
      <c r="B26" s="4" t="n">
        <v>2025</v>
      </c>
      <c r="C26" s="5" t="n">
        <v>1726</v>
      </c>
      <c r="D26" s="5" t="n">
        <v>659</v>
      </c>
      <c r="E26" s="6">
        <f>D26/C26</f>
        <v/>
      </c>
      <c r="F26" s="5" t="n">
        <v>755</v>
      </c>
      <c r="G26" s="5" t="n">
        <v>465</v>
      </c>
      <c r="H26" s="6">
        <f>G26/F26</f>
        <v/>
      </c>
    </row>
    <row r="27">
      <c r="A27" s="4" t="inlineStr">
        <is>
          <t>산림기능사</t>
        </is>
      </c>
      <c r="B27" s="4" t="n">
        <v>2015</v>
      </c>
      <c r="C27" s="5" t="n">
        <v>2383</v>
      </c>
      <c r="D27" s="5" t="n">
        <v>1003</v>
      </c>
      <c r="E27" s="6">
        <f>D27/C27</f>
        <v/>
      </c>
      <c r="F27" s="5" t="n">
        <v>1123</v>
      </c>
      <c r="G27" s="5" t="n">
        <v>760</v>
      </c>
      <c r="H27" s="6">
        <f>G27/F27</f>
        <v/>
      </c>
    </row>
    <row r="28">
      <c r="A28" s="4" t="inlineStr">
        <is>
          <t>산림기능사</t>
        </is>
      </c>
      <c r="B28" s="4" t="n">
        <v>2016</v>
      </c>
      <c r="C28" s="5" t="n">
        <v>2534</v>
      </c>
      <c r="D28" s="5" t="n">
        <v>941</v>
      </c>
      <c r="E28" s="6">
        <f>D28/C28</f>
        <v/>
      </c>
      <c r="F28" s="5" t="n">
        <v>1018</v>
      </c>
      <c r="G28" s="5" t="n">
        <v>727</v>
      </c>
      <c r="H28" s="6">
        <f>G28/F28</f>
        <v/>
      </c>
    </row>
    <row r="29">
      <c r="A29" s="4" t="inlineStr">
        <is>
          <t>산림기능사</t>
        </is>
      </c>
      <c r="B29" s="4" t="n">
        <v>2017</v>
      </c>
      <c r="C29" s="5" t="n">
        <v>2350</v>
      </c>
      <c r="D29" s="5" t="n">
        <v>1015</v>
      </c>
      <c r="E29" s="6">
        <f>D29/C29</f>
        <v/>
      </c>
      <c r="F29" s="5" t="n">
        <v>1063</v>
      </c>
      <c r="G29" s="5" t="n">
        <v>800</v>
      </c>
      <c r="H29" s="6">
        <f>G29/F29</f>
        <v/>
      </c>
    </row>
    <row r="30">
      <c r="A30" s="4" t="inlineStr">
        <is>
          <t>산림기능사</t>
        </is>
      </c>
      <c r="B30" s="4" t="n">
        <v>2018</v>
      </c>
      <c r="C30" s="5" t="n">
        <v>2988</v>
      </c>
      <c r="D30" s="5" t="n">
        <v>1498</v>
      </c>
      <c r="E30" s="6">
        <f>D30/C30</f>
        <v/>
      </c>
      <c r="F30" s="5" t="n">
        <v>1503</v>
      </c>
      <c r="G30" s="5" t="n">
        <v>989</v>
      </c>
      <c r="H30" s="6">
        <f>G30/F30</f>
        <v/>
      </c>
    </row>
    <row r="31">
      <c r="A31" s="4" t="inlineStr">
        <is>
          <t>산림기능사</t>
        </is>
      </c>
      <c r="B31" s="4" t="n">
        <v>2019</v>
      </c>
      <c r="C31" s="5" t="n">
        <v>3693</v>
      </c>
      <c r="D31" s="5" t="n">
        <v>1773</v>
      </c>
      <c r="E31" s="6">
        <f>D31/C31</f>
        <v/>
      </c>
      <c r="F31" s="5" t="n">
        <v>1962</v>
      </c>
      <c r="G31" s="5" t="n">
        <v>1417</v>
      </c>
      <c r="H31" s="6">
        <f>G31/F31</f>
        <v/>
      </c>
    </row>
    <row r="32">
      <c r="A32" s="4" t="inlineStr">
        <is>
          <t>산림기능사</t>
        </is>
      </c>
      <c r="B32" s="4" t="n">
        <v>2020</v>
      </c>
      <c r="C32" s="5" t="n">
        <v>3768</v>
      </c>
      <c r="D32" s="5" t="n">
        <v>1970</v>
      </c>
      <c r="E32" s="6">
        <f>D32/C32</f>
        <v/>
      </c>
      <c r="F32" s="5" t="n">
        <v>2054</v>
      </c>
      <c r="G32" s="5" t="n">
        <v>1595</v>
      </c>
      <c r="H32" s="6">
        <f>G32/F32</f>
        <v/>
      </c>
    </row>
    <row r="33">
      <c r="A33" s="4" t="inlineStr">
        <is>
          <t>산림기능사</t>
        </is>
      </c>
      <c r="B33" s="4" t="n">
        <v>2021</v>
      </c>
      <c r="C33" s="5" t="n">
        <v>5290</v>
      </c>
      <c r="D33" s="5" t="n">
        <v>2926</v>
      </c>
      <c r="E33" s="6">
        <f>D33/C33</f>
        <v/>
      </c>
      <c r="F33" s="5" t="n">
        <v>3129</v>
      </c>
      <c r="G33" s="5" t="n">
        <v>2294</v>
      </c>
      <c r="H33" s="6">
        <f>G33/F33</f>
        <v/>
      </c>
    </row>
    <row r="34">
      <c r="A34" s="4" t="inlineStr">
        <is>
          <t>산림기능사</t>
        </is>
      </c>
      <c r="B34" s="4" t="n">
        <v>2022</v>
      </c>
      <c r="C34" s="5" t="n">
        <v>4921</v>
      </c>
      <c r="D34" s="5" t="n">
        <v>2770</v>
      </c>
      <c r="E34" s="6">
        <f>D34/C34</f>
        <v/>
      </c>
      <c r="F34" s="5" t="n">
        <v>2982</v>
      </c>
      <c r="G34" s="5" t="n">
        <v>2325</v>
      </c>
      <c r="H34" s="6">
        <f>G34/F34</f>
        <v/>
      </c>
    </row>
    <row r="35">
      <c r="A35" s="4" t="inlineStr">
        <is>
          <t>산림기능사</t>
        </is>
      </c>
      <c r="B35" s="4" t="n">
        <v>2023</v>
      </c>
      <c r="C35" s="5" t="n">
        <v>5118</v>
      </c>
      <c r="D35" s="5" t="n">
        <v>2842</v>
      </c>
      <c r="E35" s="6">
        <f>D35/C35</f>
        <v/>
      </c>
      <c r="F35" s="5" t="n">
        <v>2995</v>
      </c>
      <c r="G35" s="5" t="n">
        <v>2320</v>
      </c>
      <c r="H35" s="6">
        <f>G35/F35</f>
        <v/>
      </c>
    </row>
    <row r="36">
      <c r="A36" s="4" t="inlineStr">
        <is>
          <t>산림기능사</t>
        </is>
      </c>
      <c r="B36" s="4" t="n">
        <v>2024</v>
      </c>
      <c r="C36" s="5" t="n">
        <v>5090</v>
      </c>
      <c r="D36" s="5" t="n">
        <v>2792</v>
      </c>
      <c r="E36" s="6">
        <f>D36/C36</f>
        <v/>
      </c>
      <c r="F36" s="5" t="n">
        <v>2929</v>
      </c>
      <c r="G36" s="5" t="n">
        <v>2217</v>
      </c>
      <c r="H36" s="6">
        <f>G36/F36</f>
        <v/>
      </c>
    </row>
    <row r="37">
      <c r="A37" s="4" t="inlineStr">
        <is>
          <t>산림기능사</t>
        </is>
      </c>
      <c r="B37" s="4" t="n">
        <v>2025</v>
      </c>
      <c r="C37" s="5" t="n">
        <v>5864</v>
      </c>
      <c r="D37" s="5" t="n">
        <v>3170</v>
      </c>
      <c r="E37" s="6">
        <f>D37/C37</f>
        <v/>
      </c>
      <c r="F37" s="5" t="n">
        <v>3312</v>
      </c>
      <c r="G37" s="5" t="n">
        <v>2580</v>
      </c>
      <c r="H37" s="6">
        <f>G37/F37</f>
        <v/>
      </c>
    </row>
    <row r="38">
      <c r="A38" s="4" t="inlineStr">
        <is>
          <t>식물보호기사</t>
        </is>
      </c>
      <c r="B38" s="4" t="n">
        <v>2015</v>
      </c>
      <c r="C38" s="5" t="n">
        <v>3589</v>
      </c>
      <c r="D38" s="5" t="n">
        <v>835</v>
      </c>
      <c r="E38" s="6">
        <f>D38/C38</f>
        <v/>
      </c>
      <c r="F38" s="5" t="n">
        <v>1749</v>
      </c>
      <c r="G38" s="5" t="n">
        <v>753</v>
      </c>
      <c r="H38" s="6">
        <f>G38/F38</f>
        <v/>
      </c>
    </row>
    <row r="39">
      <c r="A39" s="4" t="inlineStr">
        <is>
          <t>식물보호기사</t>
        </is>
      </c>
      <c r="B39" s="4" t="n">
        <v>2016</v>
      </c>
      <c r="C39" s="5" t="n">
        <v>3597</v>
      </c>
      <c r="D39" s="5" t="n">
        <v>1244</v>
      </c>
      <c r="E39" s="6">
        <f>D39/C39</f>
        <v/>
      </c>
      <c r="F39" s="5" t="n">
        <v>2004</v>
      </c>
      <c r="G39" s="5" t="n">
        <v>855</v>
      </c>
      <c r="H39" s="6">
        <f>G39/F39</f>
        <v/>
      </c>
    </row>
    <row r="40">
      <c r="A40" s="4" t="inlineStr">
        <is>
          <t>식물보호기사</t>
        </is>
      </c>
      <c r="B40" s="4" t="n">
        <v>2017</v>
      </c>
      <c r="C40" s="5" t="n">
        <v>3957</v>
      </c>
      <c r="D40" s="5" t="n">
        <v>1709</v>
      </c>
      <c r="E40" s="6">
        <f>D40/C40</f>
        <v/>
      </c>
      <c r="F40" s="5" t="n">
        <v>2502</v>
      </c>
      <c r="G40" s="5" t="n">
        <v>1006</v>
      </c>
      <c r="H40" s="6">
        <f>G40/F40</f>
        <v/>
      </c>
    </row>
    <row r="41">
      <c r="A41" s="4" t="inlineStr">
        <is>
          <t>식물보호기사</t>
        </is>
      </c>
      <c r="B41" s="4" t="n">
        <v>2018</v>
      </c>
      <c r="C41" s="5" t="n">
        <v>4130</v>
      </c>
      <c r="D41" s="5" t="n">
        <v>1527</v>
      </c>
      <c r="E41" s="6">
        <f>D41/C41</f>
        <v/>
      </c>
      <c r="F41" s="5" t="n">
        <v>2578</v>
      </c>
      <c r="G41" s="5" t="n">
        <v>1344</v>
      </c>
      <c r="H41" s="6">
        <f>G41/F41</f>
        <v/>
      </c>
    </row>
    <row r="42">
      <c r="A42" s="4" t="inlineStr">
        <is>
          <t>식물보호기사</t>
        </is>
      </c>
      <c r="B42" s="4" t="n">
        <v>2019</v>
      </c>
      <c r="C42" s="5" t="n">
        <v>4605</v>
      </c>
      <c r="D42" s="5" t="n">
        <v>1988</v>
      </c>
      <c r="E42" s="6">
        <f>D42/C42</f>
        <v/>
      </c>
      <c r="F42" s="5" t="n">
        <v>2712</v>
      </c>
      <c r="G42" s="5" t="n">
        <v>1611</v>
      </c>
      <c r="H42" s="6">
        <f>G42/F42</f>
        <v/>
      </c>
    </row>
    <row r="43">
      <c r="A43" s="4" t="inlineStr">
        <is>
          <t>식물보호기사</t>
        </is>
      </c>
      <c r="B43" s="4" t="n">
        <v>2020</v>
      </c>
      <c r="C43" s="5" t="n">
        <v>4526</v>
      </c>
      <c r="D43" s="5" t="n">
        <v>2090</v>
      </c>
      <c r="E43" s="6">
        <f>D43/C43</f>
        <v/>
      </c>
      <c r="F43" s="5" t="n">
        <v>2892</v>
      </c>
      <c r="G43" s="5" t="n">
        <v>1831</v>
      </c>
      <c r="H43" s="6">
        <f>G43/F43</f>
        <v/>
      </c>
    </row>
    <row r="44">
      <c r="A44" s="4" t="inlineStr">
        <is>
          <t>식물보호기사</t>
        </is>
      </c>
      <c r="B44" s="4" t="n">
        <v>2021</v>
      </c>
      <c r="C44" s="5" t="n">
        <v>4933</v>
      </c>
      <c r="D44" s="5" t="n">
        <v>2718</v>
      </c>
      <c r="E44" s="6">
        <f>D44/C44</f>
        <v/>
      </c>
      <c r="F44" s="5" t="n">
        <v>3408</v>
      </c>
      <c r="G44" s="5" t="n">
        <v>2025</v>
      </c>
      <c r="H44" s="6">
        <f>G44/F44</f>
        <v/>
      </c>
    </row>
    <row r="45">
      <c r="A45" s="4" t="inlineStr">
        <is>
          <t>식물보호기사</t>
        </is>
      </c>
      <c r="B45" s="4" t="n">
        <v>2022</v>
      </c>
      <c r="C45" s="5" t="n">
        <v>3952</v>
      </c>
      <c r="D45" s="5" t="n">
        <v>2251</v>
      </c>
      <c r="E45" s="6">
        <f>D45/C45</f>
        <v/>
      </c>
      <c r="F45" s="5" t="n">
        <v>3380</v>
      </c>
      <c r="G45" s="5" t="n">
        <v>1691</v>
      </c>
      <c r="H45" s="6">
        <f>G45/F45</f>
        <v/>
      </c>
    </row>
    <row r="46">
      <c r="A46" s="4" t="inlineStr">
        <is>
          <t>식물보호기사</t>
        </is>
      </c>
      <c r="B46" s="4" t="n">
        <v>2023</v>
      </c>
      <c r="C46" s="5" t="n">
        <v>4264</v>
      </c>
      <c r="D46" s="5" t="n">
        <v>2320</v>
      </c>
      <c r="E46" s="6">
        <f>D46/C46</f>
        <v/>
      </c>
      <c r="F46" s="5" t="n">
        <v>3180</v>
      </c>
      <c r="G46" s="5" t="n">
        <v>1210</v>
      </c>
      <c r="H46" s="6">
        <f>G46/F46</f>
        <v/>
      </c>
    </row>
    <row r="47">
      <c r="A47" s="4" t="inlineStr">
        <is>
          <t>식물보호기사</t>
        </is>
      </c>
      <c r="B47" s="4" t="n">
        <v>2024</v>
      </c>
      <c r="C47" s="5" t="n">
        <v>4716</v>
      </c>
      <c r="D47" s="5" t="n">
        <v>2581</v>
      </c>
      <c r="E47" s="6">
        <f>D47/C47</f>
        <v/>
      </c>
      <c r="F47" s="5" t="n">
        <v>3922</v>
      </c>
      <c r="G47" s="5" t="n">
        <v>1913</v>
      </c>
      <c r="H47" s="6">
        <f>G47/F47</f>
        <v/>
      </c>
    </row>
    <row r="48">
      <c r="A48" s="4" t="inlineStr">
        <is>
          <t>식물보호기사</t>
        </is>
      </c>
      <c r="B48" s="4" t="n">
        <v>2025</v>
      </c>
      <c r="C48" s="5" t="n">
        <v>5234</v>
      </c>
      <c r="D48" s="5" t="n">
        <v>3055</v>
      </c>
      <c r="E48" s="6">
        <f>D48/C48</f>
        <v/>
      </c>
      <c r="F48" s="5" t="n">
        <v>3929</v>
      </c>
      <c r="G48" s="5" t="n">
        <v>1889</v>
      </c>
      <c r="H48" s="6">
        <f>G48/F48</f>
        <v/>
      </c>
    </row>
    <row r="49">
      <c r="A49" s="4" t="inlineStr">
        <is>
          <t>식물보호산업기사</t>
        </is>
      </c>
      <c r="B49" s="4" t="n">
        <v>2015</v>
      </c>
      <c r="C49" s="5" t="n">
        <v>1006</v>
      </c>
      <c r="D49" s="5" t="n">
        <v>252</v>
      </c>
      <c r="E49" s="6">
        <f>D49/C49</f>
        <v/>
      </c>
      <c r="F49" s="5" t="n">
        <v>368</v>
      </c>
      <c r="G49" s="5" t="n">
        <v>183</v>
      </c>
      <c r="H49" s="6">
        <f>G49/F49</f>
        <v/>
      </c>
    </row>
    <row r="50">
      <c r="A50" s="4" t="inlineStr">
        <is>
          <t>식물보호산업기사</t>
        </is>
      </c>
      <c r="B50" s="4" t="n">
        <v>2016</v>
      </c>
      <c r="C50" s="5" t="n">
        <v>1068</v>
      </c>
      <c r="D50" s="5" t="n">
        <v>447</v>
      </c>
      <c r="E50" s="6">
        <f>D50/C50</f>
        <v/>
      </c>
      <c r="F50" s="5" t="n">
        <v>483</v>
      </c>
      <c r="G50" s="5" t="n">
        <v>306</v>
      </c>
      <c r="H50" s="6">
        <f>G50/F50</f>
        <v/>
      </c>
    </row>
    <row r="51">
      <c r="A51" s="4" t="inlineStr">
        <is>
          <t>식물보호산업기사</t>
        </is>
      </c>
      <c r="B51" s="4" t="n">
        <v>2017</v>
      </c>
      <c r="C51" s="5" t="n">
        <v>1071</v>
      </c>
      <c r="D51" s="5" t="n">
        <v>436</v>
      </c>
      <c r="E51" s="6">
        <f>D51/C51</f>
        <v/>
      </c>
      <c r="F51" s="5" t="n">
        <v>502</v>
      </c>
      <c r="G51" s="5" t="n">
        <v>276</v>
      </c>
      <c r="H51" s="6">
        <f>G51/F51</f>
        <v/>
      </c>
    </row>
    <row r="52">
      <c r="A52" s="4" t="inlineStr">
        <is>
          <t>식물보호산업기사</t>
        </is>
      </c>
      <c r="B52" s="4" t="n">
        <v>2018</v>
      </c>
      <c r="C52" s="5" t="n">
        <v>1425</v>
      </c>
      <c r="D52" s="5" t="n">
        <v>599</v>
      </c>
      <c r="E52" s="6">
        <f>D52/C52</f>
        <v/>
      </c>
      <c r="F52" s="5" t="n">
        <v>720</v>
      </c>
      <c r="G52" s="5" t="n">
        <v>418</v>
      </c>
      <c r="H52" s="6">
        <f>G52/F52</f>
        <v/>
      </c>
    </row>
    <row r="53">
      <c r="A53" s="4" t="inlineStr">
        <is>
          <t>식물보호산업기사</t>
        </is>
      </c>
      <c r="B53" s="4" t="n">
        <v>2019</v>
      </c>
      <c r="C53" s="5" t="n">
        <v>1965</v>
      </c>
      <c r="D53" s="5" t="n">
        <v>994</v>
      </c>
      <c r="E53" s="6">
        <f>D53/C53</f>
        <v/>
      </c>
      <c r="F53" s="5" t="n">
        <v>1075</v>
      </c>
      <c r="G53" s="5" t="n">
        <v>707</v>
      </c>
      <c r="H53" s="6">
        <f>G53/F53</f>
        <v/>
      </c>
    </row>
    <row r="54">
      <c r="A54" s="4" t="inlineStr">
        <is>
          <t>식물보호산업기사</t>
        </is>
      </c>
      <c r="B54" s="4" t="n">
        <v>2020</v>
      </c>
      <c r="C54" s="5" t="n">
        <v>2019</v>
      </c>
      <c r="D54" s="5" t="n">
        <v>1039</v>
      </c>
      <c r="E54" s="6">
        <f>D54/C54</f>
        <v/>
      </c>
      <c r="F54" s="5" t="n">
        <v>1192</v>
      </c>
      <c r="G54" s="5" t="n">
        <v>808</v>
      </c>
      <c r="H54" s="6">
        <f>G54/F54</f>
        <v/>
      </c>
    </row>
    <row r="55">
      <c r="A55" s="4" t="inlineStr">
        <is>
          <t>식물보호산업기사</t>
        </is>
      </c>
      <c r="B55" s="4" t="n">
        <v>2021</v>
      </c>
      <c r="C55" s="5" t="n">
        <v>2690</v>
      </c>
      <c r="D55" s="5" t="n">
        <v>1559</v>
      </c>
      <c r="E55" s="6">
        <f>D55/C55</f>
        <v/>
      </c>
      <c r="F55" s="5" t="n">
        <v>1742</v>
      </c>
      <c r="G55" s="5" t="n">
        <v>1022</v>
      </c>
      <c r="H55" s="6">
        <f>G55/F55</f>
        <v/>
      </c>
    </row>
    <row r="56">
      <c r="A56" s="4" t="inlineStr">
        <is>
          <t>식물보호산업기사</t>
        </is>
      </c>
      <c r="B56" s="4" t="n">
        <v>2022</v>
      </c>
      <c r="C56" s="5" t="n">
        <v>2831</v>
      </c>
      <c r="D56" s="5" t="n">
        <v>1640</v>
      </c>
      <c r="E56" s="6">
        <f>D56/C56</f>
        <v/>
      </c>
      <c r="F56" s="5" t="n">
        <v>2122</v>
      </c>
      <c r="G56" s="5" t="n">
        <v>1368</v>
      </c>
      <c r="H56" s="6">
        <f>G56/F56</f>
        <v/>
      </c>
    </row>
    <row r="57">
      <c r="A57" s="4" t="inlineStr">
        <is>
          <t>식물보호산업기사</t>
        </is>
      </c>
      <c r="B57" s="4" t="n">
        <v>2023</v>
      </c>
      <c r="C57" s="5" t="n">
        <v>3208</v>
      </c>
      <c r="D57" s="5" t="n">
        <v>1859</v>
      </c>
      <c r="E57" s="6">
        <f>D57/C57</f>
        <v/>
      </c>
      <c r="F57" s="5" t="n">
        <v>2291</v>
      </c>
      <c r="G57" s="5" t="n">
        <v>912</v>
      </c>
      <c r="H57" s="6">
        <f>G57/F57</f>
        <v/>
      </c>
    </row>
    <row r="58">
      <c r="A58" s="4" t="inlineStr">
        <is>
          <t>식물보호산업기사</t>
        </is>
      </c>
      <c r="B58" s="4" t="n">
        <v>2024</v>
      </c>
      <c r="C58" s="5" t="n">
        <v>3114</v>
      </c>
      <c r="D58" s="5" t="n">
        <v>1233</v>
      </c>
      <c r="E58" s="6">
        <f>D58/C58</f>
        <v/>
      </c>
      <c r="F58" s="5" t="n">
        <v>2071</v>
      </c>
      <c r="G58" s="5" t="n">
        <v>1030</v>
      </c>
      <c r="H58" s="6">
        <f>G58/F58</f>
        <v/>
      </c>
    </row>
    <row r="59">
      <c r="A59" s="4" t="inlineStr">
        <is>
          <t>식물보호산업기사</t>
        </is>
      </c>
      <c r="B59" s="4" t="n">
        <v>2025</v>
      </c>
      <c r="C59" s="5" t="n">
        <v>3067</v>
      </c>
      <c r="D59" s="5" t="n">
        <v>1664</v>
      </c>
      <c r="E59" s="6">
        <f>D59/C59</f>
        <v/>
      </c>
      <c r="F59" s="5" t="n">
        <v>2294</v>
      </c>
      <c r="G59" s="5" t="n">
        <v>1166</v>
      </c>
      <c r="H59" s="6">
        <f>G59/F59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2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등급별 응시자·실기합격률 증감 비교 (2015 → 2025)</t>
        </is>
      </c>
    </row>
    <row r="2">
      <c r="A2" s="2" t="inlineStr">
        <is>
          <t>조경 vs 산림 vs 식물보호. SUMIFS로 원본 시트 값을 그대로 참조하므로 원본 데이터가 바뀌면 자동 갱신됩니다.</t>
        </is>
      </c>
    </row>
    <row r="4">
      <c r="A4" s="3" t="inlineStr">
        <is>
          <t>등급</t>
        </is>
      </c>
      <c r="B4" s="3" t="inlineStr">
        <is>
          <t>자격증</t>
        </is>
      </c>
      <c r="C4" s="3" t="inlineStr">
        <is>
          <t>2015 필기응시</t>
        </is>
      </c>
      <c r="D4" s="3" t="inlineStr">
        <is>
          <t>2025 필기응시</t>
        </is>
      </c>
      <c r="E4" s="3" t="inlineStr">
        <is>
          <t>응시자 증감률</t>
        </is>
      </c>
      <c r="F4" s="3" t="inlineStr">
        <is>
          <t>2015 실기합격률</t>
        </is>
      </c>
      <c r="G4" s="3" t="inlineStr">
        <is>
          <t>2025 실기합격률</t>
        </is>
      </c>
      <c r="H4" s="3" t="inlineStr">
        <is>
          <t>실기합격률 변화</t>
        </is>
      </c>
    </row>
    <row r="5">
      <c r="A5" s="7" t="inlineStr">
        <is>
          <t>기사</t>
        </is>
      </c>
      <c r="B5" s="7" t="inlineStr">
        <is>
          <t>조경</t>
        </is>
      </c>
      <c r="C5" s="8">
        <f>SUMIFS('조경 4종(2001-2025)'!$C:$C,'조경 4종(2001-2025)'!$A:$A,B5&amp;A5,'조경 4종(2001-2025)'!$B:$B,2015)</f>
        <v/>
      </c>
      <c r="D5" s="8">
        <f>SUMIFS('조경 4종(2001-2025)'!$C:$C,'조경 4종(2001-2025)'!$A:$A,B5&amp;A5,'조경 4종(2001-2025)'!$B:$B,2025)</f>
        <v/>
      </c>
      <c r="E5" s="9">
        <f>D5/C5-1</f>
        <v/>
      </c>
      <c r="F5" s="10">
        <f>SUMIFS('조경 4종(2001-2025)'!$H:$H,'조경 4종(2001-2025)'!$A:$A,B5&amp;A5,'조경 4종(2001-2025)'!$B:$B,2015)</f>
        <v/>
      </c>
      <c r="G5" s="10">
        <f>SUMIFS('조경 4종(2001-2025)'!$H:$H,'조경 4종(2001-2025)'!$A:$A,B5&amp;A5,'조경 4종(2001-2025)'!$B:$B,2025)</f>
        <v/>
      </c>
      <c r="H5" s="11">
        <f>G5-F5</f>
        <v/>
      </c>
    </row>
    <row r="6">
      <c r="A6" s="12" t="inlineStr">
        <is>
          <t>기사</t>
        </is>
      </c>
      <c r="B6" s="12" t="inlineStr">
        <is>
          <t>산림</t>
        </is>
      </c>
      <c r="C6" s="5">
        <f>SUMIFS('유사자격증 5종(2015-2025)'!$C:$C,'유사자격증 5종(2015-2025)'!$A:$A,B6&amp;A6,'유사자격증 5종(2015-2025)'!$B:$B,2015)</f>
        <v/>
      </c>
      <c r="D6" s="5">
        <f>SUMIFS('유사자격증 5종(2015-2025)'!$C:$C,'유사자격증 5종(2015-2025)'!$A:$A,B6&amp;A6,'유사자격증 5종(2015-2025)'!$B:$B,2025)</f>
        <v/>
      </c>
      <c r="E6" s="13">
        <f>D6/C6-1</f>
        <v/>
      </c>
      <c r="F6" s="6">
        <f>SUMIFS('유사자격증 5종(2015-2025)'!$H:$H,'유사자격증 5종(2015-2025)'!$A:$A,B6&amp;A6,'유사자격증 5종(2015-2025)'!$B:$B,2015)</f>
        <v/>
      </c>
      <c r="G6" s="6">
        <f>SUMIFS('유사자격증 5종(2015-2025)'!$H:$H,'유사자격증 5종(2015-2025)'!$A:$A,B6&amp;A6,'유사자격증 5종(2015-2025)'!$B:$B,2025)</f>
        <v/>
      </c>
      <c r="H6" s="14">
        <f>G6-F6</f>
        <v/>
      </c>
    </row>
    <row r="7">
      <c r="A7" s="12" t="inlineStr">
        <is>
          <t>기사</t>
        </is>
      </c>
      <c r="B7" s="12" t="inlineStr">
        <is>
          <t>식물보호</t>
        </is>
      </c>
      <c r="C7" s="5">
        <f>SUMIFS('유사자격증 5종(2015-2025)'!$C:$C,'유사자격증 5종(2015-2025)'!$A:$A,B7&amp;A7,'유사자격증 5종(2015-2025)'!$B:$B,2015)</f>
        <v/>
      </c>
      <c r="D7" s="5">
        <f>SUMIFS('유사자격증 5종(2015-2025)'!$C:$C,'유사자격증 5종(2015-2025)'!$A:$A,B7&amp;A7,'유사자격증 5종(2015-2025)'!$B:$B,2025)</f>
        <v/>
      </c>
      <c r="E7" s="13">
        <f>D7/C7-1</f>
        <v/>
      </c>
      <c r="F7" s="6">
        <f>SUMIFS('유사자격증 5종(2015-2025)'!$H:$H,'유사자격증 5종(2015-2025)'!$A:$A,B7&amp;A7,'유사자격증 5종(2015-2025)'!$B:$B,2015)</f>
        <v/>
      </c>
      <c r="G7" s="6">
        <f>SUMIFS('유사자격증 5종(2015-2025)'!$H:$H,'유사자격증 5종(2015-2025)'!$A:$A,B7&amp;A7,'유사자격증 5종(2015-2025)'!$B:$B,2025)</f>
        <v/>
      </c>
      <c r="H7" s="14">
        <f>G7-F7</f>
        <v/>
      </c>
    </row>
    <row r="8">
      <c r="A8" s="7" t="inlineStr">
        <is>
          <t>산업기사</t>
        </is>
      </c>
      <c r="B8" s="7" t="inlineStr">
        <is>
          <t>조경</t>
        </is>
      </c>
      <c r="C8" s="8">
        <f>SUMIFS('조경 4종(2001-2025)'!$C:$C,'조경 4종(2001-2025)'!$A:$A,B8&amp;A8,'조경 4종(2001-2025)'!$B:$B,2015)</f>
        <v/>
      </c>
      <c r="D8" s="8">
        <f>SUMIFS('조경 4종(2001-2025)'!$C:$C,'조경 4종(2001-2025)'!$A:$A,B8&amp;A8,'조경 4종(2001-2025)'!$B:$B,2025)</f>
        <v/>
      </c>
      <c r="E8" s="9">
        <f>D8/C8-1</f>
        <v/>
      </c>
      <c r="F8" s="10">
        <f>SUMIFS('조경 4종(2001-2025)'!$H:$H,'조경 4종(2001-2025)'!$A:$A,B8&amp;A8,'조경 4종(2001-2025)'!$B:$B,2015)</f>
        <v/>
      </c>
      <c r="G8" s="10">
        <f>SUMIFS('조경 4종(2001-2025)'!$H:$H,'조경 4종(2001-2025)'!$A:$A,B8&amp;A8,'조경 4종(2001-2025)'!$B:$B,2025)</f>
        <v/>
      </c>
      <c r="H8" s="11">
        <f>G8-F8</f>
        <v/>
      </c>
    </row>
    <row r="9">
      <c r="A9" s="12" t="inlineStr">
        <is>
          <t>산업기사</t>
        </is>
      </c>
      <c r="B9" s="12" t="inlineStr">
        <is>
          <t>산림</t>
        </is>
      </c>
      <c r="C9" s="5">
        <f>SUMIFS('유사자격증 5종(2015-2025)'!$C:$C,'유사자격증 5종(2015-2025)'!$A:$A,B9&amp;A9,'유사자격증 5종(2015-2025)'!$B:$B,2015)</f>
        <v/>
      </c>
      <c r="D9" s="5">
        <f>SUMIFS('유사자격증 5종(2015-2025)'!$C:$C,'유사자격증 5종(2015-2025)'!$A:$A,B9&amp;A9,'유사자격증 5종(2015-2025)'!$B:$B,2025)</f>
        <v/>
      </c>
      <c r="E9" s="13">
        <f>D9/C9-1</f>
        <v/>
      </c>
      <c r="F9" s="6">
        <f>SUMIFS('유사자격증 5종(2015-2025)'!$H:$H,'유사자격증 5종(2015-2025)'!$A:$A,B9&amp;A9,'유사자격증 5종(2015-2025)'!$B:$B,2015)</f>
        <v/>
      </c>
      <c r="G9" s="6">
        <f>SUMIFS('유사자격증 5종(2015-2025)'!$H:$H,'유사자격증 5종(2015-2025)'!$A:$A,B9&amp;A9,'유사자격증 5종(2015-2025)'!$B:$B,2025)</f>
        <v/>
      </c>
      <c r="H9" s="14">
        <f>G9-F9</f>
        <v/>
      </c>
    </row>
    <row r="10">
      <c r="A10" s="12" t="inlineStr">
        <is>
          <t>산업기사</t>
        </is>
      </c>
      <c r="B10" s="12" t="inlineStr">
        <is>
          <t>식물보호</t>
        </is>
      </c>
      <c r="C10" s="5">
        <f>SUMIFS('유사자격증 5종(2015-2025)'!$C:$C,'유사자격증 5종(2015-2025)'!$A:$A,B10&amp;A10,'유사자격증 5종(2015-2025)'!$B:$B,2015)</f>
        <v/>
      </c>
      <c r="D10" s="5">
        <f>SUMIFS('유사자격증 5종(2015-2025)'!$C:$C,'유사자격증 5종(2015-2025)'!$A:$A,B10&amp;A10,'유사자격증 5종(2015-2025)'!$B:$B,2025)</f>
        <v/>
      </c>
      <c r="E10" s="13">
        <f>D10/C10-1</f>
        <v/>
      </c>
      <c r="F10" s="6">
        <f>SUMIFS('유사자격증 5종(2015-2025)'!$H:$H,'유사자격증 5종(2015-2025)'!$A:$A,B10&amp;A10,'유사자격증 5종(2015-2025)'!$B:$B,2015)</f>
        <v/>
      </c>
      <c r="G10" s="6">
        <f>SUMIFS('유사자격증 5종(2015-2025)'!$H:$H,'유사자격증 5종(2015-2025)'!$A:$A,B10&amp;A10,'유사자격증 5종(2015-2025)'!$B:$B,2025)</f>
        <v/>
      </c>
      <c r="H10" s="14">
        <f>G10-F10</f>
        <v/>
      </c>
    </row>
    <row r="11">
      <c r="A11" s="7" t="inlineStr">
        <is>
          <t>기능사</t>
        </is>
      </c>
      <c r="B11" s="7" t="inlineStr">
        <is>
          <t>조경</t>
        </is>
      </c>
      <c r="C11" s="8">
        <f>SUMIFS('조경 4종(2001-2025)'!$C:$C,'조경 4종(2001-2025)'!$A:$A,B11&amp;A11,'조경 4종(2001-2025)'!$B:$B,2015)</f>
        <v/>
      </c>
      <c r="D11" s="8">
        <f>SUMIFS('조경 4종(2001-2025)'!$C:$C,'조경 4종(2001-2025)'!$A:$A,B11&amp;A11,'조경 4종(2001-2025)'!$B:$B,2025)</f>
        <v/>
      </c>
      <c r="E11" s="9">
        <f>D11/C11-1</f>
        <v/>
      </c>
      <c r="F11" s="10">
        <f>SUMIFS('조경 4종(2001-2025)'!$H:$H,'조경 4종(2001-2025)'!$A:$A,B11&amp;A11,'조경 4종(2001-2025)'!$B:$B,2015)</f>
        <v/>
      </c>
      <c r="G11" s="10">
        <f>SUMIFS('조경 4종(2001-2025)'!$H:$H,'조경 4종(2001-2025)'!$A:$A,B11&amp;A11,'조경 4종(2001-2025)'!$B:$B,2025)</f>
        <v/>
      </c>
      <c r="H11" s="11">
        <f>G11-F11</f>
        <v/>
      </c>
    </row>
    <row r="12">
      <c r="A12" s="12" t="inlineStr">
        <is>
          <t>기능사</t>
        </is>
      </c>
      <c r="B12" s="12" t="inlineStr">
        <is>
          <t>산림</t>
        </is>
      </c>
      <c r="C12" s="5">
        <f>SUMIFS('유사자격증 5종(2015-2025)'!$C:$C,'유사자격증 5종(2015-2025)'!$A:$A,B12&amp;A12,'유사자격증 5종(2015-2025)'!$B:$B,2015)</f>
        <v/>
      </c>
      <c r="D12" s="5">
        <f>SUMIFS('유사자격증 5종(2015-2025)'!$C:$C,'유사자격증 5종(2015-2025)'!$A:$A,B12&amp;A12,'유사자격증 5종(2015-2025)'!$B:$B,2025)</f>
        <v/>
      </c>
      <c r="E12" s="13">
        <f>D12/C12-1</f>
        <v/>
      </c>
      <c r="F12" s="6">
        <f>SUMIFS('유사자격증 5종(2015-2025)'!$H:$H,'유사자격증 5종(2015-2025)'!$A:$A,B12&amp;A12,'유사자격증 5종(2015-2025)'!$B:$B,2015)</f>
        <v/>
      </c>
      <c r="G12" s="6">
        <f>SUMIFS('유사자격증 5종(2015-2025)'!$H:$H,'유사자격증 5종(2015-2025)'!$A:$A,B12&amp;A12,'유사자격증 5종(2015-2025)'!$B:$B,2025)</f>
        <v/>
      </c>
      <c r="H12" s="14">
        <f>G12-F12</f>
        <v/>
      </c>
    </row>
    <row r="14">
      <c r="A14" s="2" t="inlineStr">
        <is>
          <t>참고: B열은 원본 시트의 종목명과 정확히 일치해야 SUMIFS가 값을 찾습니다(예: 조경+기사=조경기사).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3" customWidth="1" min="4" max="4"/>
    <col width="10" customWidth="1" min="5" max="5"/>
    <col width="11" customWidth="1" min="6" max="6"/>
  </cols>
  <sheetData>
    <row r="1">
      <c r="A1" s="1" t="inlineStr">
        <is>
          <t>조경 국가자격 취득자 성비 (2013~2024)</t>
        </is>
      </c>
    </row>
    <row r="2">
      <c r="A2" s="2" t="inlineStr">
        <is>
          <t>출처: 공공데이터포털 「국가자격취득자현황」(한국산업인력공단). 조경기사·조경산업기사는 2023년까지, 조경기능사·조경기술사는 2024년(일부월)까지 공개.</t>
        </is>
      </c>
    </row>
    <row r="4">
      <c r="A4" s="3" t="inlineStr">
        <is>
          <t>종목</t>
        </is>
      </c>
      <c r="B4" s="3" t="inlineStr">
        <is>
          <t>연도</t>
        </is>
      </c>
      <c r="C4" s="3" t="inlineStr">
        <is>
          <t>남성 취득자</t>
        </is>
      </c>
      <c r="D4" s="3" t="inlineStr">
        <is>
          <t>여성 취득자</t>
        </is>
      </c>
      <c r="E4" s="3" t="inlineStr">
        <is>
          <t>합계</t>
        </is>
      </c>
      <c r="F4" s="3" t="inlineStr">
        <is>
          <t>여성 비율</t>
        </is>
      </c>
    </row>
    <row r="5">
      <c r="A5" s="4" t="inlineStr">
        <is>
          <t>조경기사</t>
        </is>
      </c>
      <c r="B5" s="4" t="n">
        <v>2013</v>
      </c>
      <c r="C5" s="5" t="n">
        <v>387</v>
      </c>
      <c r="D5" s="5" t="n">
        <v>333</v>
      </c>
      <c r="E5" s="5">
        <f>C5+D5</f>
        <v/>
      </c>
      <c r="F5" s="6">
        <f>D5/E5</f>
        <v/>
      </c>
    </row>
    <row r="6">
      <c r="A6" s="4" t="inlineStr">
        <is>
          <t>조경기사</t>
        </is>
      </c>
      <c r="B6" s="4" t="n">
        <v>2014</v>
      </c>
      <c r="C6" s="5" t="n">
        <v>324</v>
      </c>
      <c r="D6" s="5" t="n">
        <v>220</v>
      </c>
      <c r="E6" s="5">
        <f>C6+D6</f>
        <v/>
      </c>
      <c r="F6" s="6">
        <f>D6/E6</f>
        <v/>
      </c>
    </row>
    <row r="7">
      <c r="A7" s="4" t="inlineStr">
        <is>
          <t>조경기사</t>
        </is>
      </c>
      <c r="B7" s="4" t="n">
        <v>2015</v>
      </c>
      <c r="C7" s="5" t="n">
        <v>271</v>
      </c>
      <c r="D7" s="5" t="n">
        <v>273</v>
      </c>
      <c r="E7" s="5">
        <f>C7+D7</f>
        <v/>
      </c>
      <c r="F7" s="6">
        <f>D7/E7</f>
        <v/>
      </c>
    </row>
    <row r="8">
      <c r="A8" s="4" t="inlineStr">
        <is>
          <t>조경기사</t>
        </is>
      </c>
      <c r="B8" s="4" t="n">
        <v>2016</v>
      </c>
      <c r="C8" s="5" t="n">
        <v>295</v>
      </c>
      <c r="D8" s="5" t="n">
        <v>289</v>
      </c>
      <c r="E8" s="5">
        <f>C8+D8</f>
        <v/>
      </c>
      <c r="F8" s="6">
        <f>D8/E8</f>
        <v/>
      </c>
    </row>
    <row r="9">
      <c r="A9" s="4" t="inlineStr">
        <is>
          <t>조경기사</t>
        </is>
      </c>
      <c r="B9" s="4" t="n">
        <v>2017</v>
      </c>
      <c r="C9" s="5" t="n">
        <v>303</v>
      </c>
      <c r="D9" s="5" t="n">
        <v>252</v>
      </c>
      <c r="E9" s="5">
        <f>C9+D9</f>
        <v/>
      </c>
      <c r="F9" s="6">
        <f>D9/E9</f>
        <v/>
      </c>
    </row>
    <row r="10">
      <c r="A10" s="4" t="inlineStr">
        <is>
          <t>조경기사</t>
        </is>
      </c>
      <c r="B10" s="4" t="n">
        <v>2018</v>
      </c>
      <c r="C10" s="5" t="n">
        <v>391</v>
      </c>
      <c r="D10" s="5" t="n">
        <v>300</v>
      </c>
      <c r="E10" s="5">
        <f>C10+D10</f>
        <v/>
      </c>
      <c r="F10" s="6">
        <f>D10/E10</f>
        <v/>
      </c>
    </row>
    <row r="11">
      <c r="A11" s="4" t="inlineStr">
        <is>
          <t>조경기사</t>
        </is>
      </c>
      <c r="B11" s="4" t="n">
        <v>2019</v>
      </c>
      <c r="C11" s="5" t="n">
        <v>293</v>
      </c>
      <c r="D11" s="5" t="n">
        <v>268</v>
      </c>
      <c r="E11" s="5">
        <f>C11+D11</f>
        <v/>
      </c>
      <c r="F11" s="6">
        <f>D11/E11</f>
        <v/>
      </c>
    </row>
    <row r="12">
      <c r="A12" s="4" t="inlineStr">
        <is>
          <t>조경기사</t>
        </is>
      </c>
      <c r="B12" s="4" t="n">
        <v>2020</v>
      </c>
      <c r="C12" s="5" t="n">
        <v>360</v>
      </c>
      <c r="D12" s="5" t="n">
        <v>342</v>
      </c>
      <c r="E12" s="5">
        <f>C12+D12</f>
        <v/>
      </c>
      <c r="F12" s="6">
        <f>D12/E12</f>
        <v/>
      </c>
    </row>
    <row r="13">
      <c r="A13" s="4" t="inlineStr">
        <is>
          <t>조경기사</t>
        </is>
      </c>
      <c r="B13" s="4" t="n">
        <v>2021</v>
      </c>
      <c r="C13" s="5" t="n">
        <v>355</v>
      </c>
      <c r="D13" s="5" t="n">
        <v>375</v>
      </c>
      <c r="E13" s="5">
        <f>C13+D13</f>
        <v/>
      </c>
      <c r="F13" s="6">
        <f>D13/E13</f>
        <v/>
      </c>
    </row>
    <row r="14">
      <c r="A14" s="4" t="inlineStr">
        <is>
          <t>조경기사</t>
        </is>
      </c>
      <c r="B14" s="4" t="n">
        <v>2022</v>
      </c>
      <c r="C14" s="5" t="n">
        <v>429</v>
      </c>
      <c r="D14" s="5" t="n">
        <v>435</v>
      </c>
      <c r="E14" s="5">
        <f>C14+D14</f>
        <v/>
      </c>
      <c r="F14" s="6">
        <f>D14/E14</f>
        <v/>
      </c>
    </row>
    <row r="15">
      <c r="A15" s="4" t="inlineStr">
        <is>
          <t>조경기사</t>
        </is>
      </c>
      <c r="B15" s="4" t="n">
        <v>2023</v>
      </c>
      <c r="C15" s="5" t="n">
        <v>319</v>
      </c>
      <c r="D15" s="5" t="n">
        <v>333</v>
      </c>
      <c r="E15" s="5">
        <f>C15+D15</f>
        <v/>
      </c>
      <c r="F15" s="6">
        <f>D15/E15</f>
        <v/>
      </c>
    </row>
    <row r="16">
      <c r="A16" s="4" t="inlineStr">
        <is>
          <t>조경산업기사</t>
        </is>
      </c>
      <c r="B16" s="4" t="n">
        <v>2013</v>
      </c>
      <c r="C16" s="5" t="n">
        <v>240</v>
      </c>
      <c r="D16" s="5" t="n">
        <v>144</v>
      </c>
      <c r="E16" s="5">
        <f>C16+D16</f>
        <v/>
      </c>
      <c r="F16" s="6">
        <f>D16/E16</f>
        <v/>
      </c>
    </row>
    <row r="17">
      <c r="A17" s="4" t="inlineStr">
        <is>
          <t>조경산업기사</t>
        </is>
      </c>
      <c r="B17" s="4" t="n">
        <v>2014</v>
      </c>
      <c r="C17" s="5" t="n">
        <v>276</v>
      </c>
      <c r="D17" s="5" t="n">
        <v>184</v>
      </c>
      <c r="E17" s="5">
        <f>C17+D17</f>
        <v/>
      </c>
      <c r="F17" s="6">
        <f>D17/E17</f>
        <v/>
      </c>
    </row>
    <row r="18">
      <c r="A18" s="4" t="inlineStr">
        <is>
          <t>조경산업기사</t>
        </is>
      </c>
      <c r="B18" s="4" t="n">
        <v>2015</v>
      </c>
      <c r="C18" s="5" t="n">
        <v>119</v>
      </c>
      <c r="D18" s="5" t="n">
        <v>69</v>
      </c>
      <c r="E18" s="5">
        <f>C18+D18</f>
        <v/>
      </c>
      <c r="F18" s="6">
        <f>D18/E18</f>
        <v/>
      </c>
    </row>
    <row r="19">
      <c r="A19" s="4" t="inlineStr">
        <is>
          <t>조경산업기사</t>
        </is>
      </c>
      <c r="B19" s="4" t="n">
        <v>2016</v>
      </c>
      <c r="C19" s="5" t="n">
        <v>129</v>
      </c>
      <c r="D19" s="5" t="n">
        <v>90</v>
      </c>
      <c r="E19" s="5">
        <f>C19+D19</f>
        <v/>
      </c>
      <c r="F19" s="6">
        <f>D19/E19</f>
        <v/>
      </c>
    </row>
    <row r="20">
      <c r="A20" s="4" t="inlineStr">
        <is>
          <t>조경산업기사</t>
        </is>
      </c>
      <c r="B20" s="4" t="n">
        <v>2017</v>
      </c>
      <c r="C20" s="5" t="n">
        <v>122</v>
      </c>
      <c r="D20" s="5" t="n">
        <v>70</v>
      </c>
      <c r="E20" s="5">
        <f>C20+D20</f>
        <v/>
      </c>
      <c r="F20" s="6">
        <f>D20/E20</f>
        <v/>
      </c>
    </row>
    <row r="21">
      <c r="A21" s="4" t="inlineStr">
        <is>
          <t>조경산업기사</t>
        </is>
      </c>
      <c r="B21" s="4" t="n">
        <v>2018</v>
      </c>
      <c r="C21" s="5" t="n">
        <v>169</v>
      </c>
      <c r="D21" s="5" t="n">
        <v>78</v>
      </c>
      <c r="E21" s="5">
        <f>C21+D21</f>
        <v/>
      </c>
      <c r="F21" s="6">
        <f>D21/E21</f>
        <v/>
      </c>
    </row>
    <row r="22">
      <c r="A22" s="4" t="inlineStr">
        <is>
          <t>조경산업기사</t>
        </is>
      </c>
      <c r="B22" s="4" t="n">
        <v>2019</v>
      </c>
      <c r="C22" s="5" t="n">
        <v>112</v>
      </c>
      <c r="D22" s="5" t="n">
        <v>66</v>
      </c>
      <c r="E22" s="5">
        <f>C22+D22</f>
        <v/>
      </c>
      <c r="F22" s="6">
        <f>D22/E22</f>
        <v/>
      </c>
    </row>
    <row r="23">
      <c r="A23" s="4" t="inlineStr">
        <is>
          <t>조경산업기사</t>
        </is>
      </c>
      <c r="B23" s="4" t="n">
        <v>2020</v>
      </c>
      <c r="C23" s="5" t="n">
        <v>117</v>
      </c>
      <c r="D23" s="5" t="n">
        <v>47</v>
      </c>
      <c r="E23" s="5">
        <f>C23+D23</f>
        <v/>
      </c>
      <c r="F23" s="6">
        <f>D23/E23</f>
        <v/>
      </c>
    </row>
    <row r="24">
      <c r="A24" s="4" t="inlineStr">
        <is>
          <t>조경산업기사</t>
        </is>
      </c>
      <c r="B24" s="4" t="n">
        <v>2021</v>
      </c>
      <c r="C24" s="5" t="n">
        <v>131</v>
      </c>
      <c r="D24" s="5" t="n">
        <v>64</v>
      </c>
      <c r="E24" s="5">
        <f>C24+D24</f>
        <v/>
      </c>
      <c r="F24" s="6">
        <f>D24/E24</f>
        <v/>
      </c>
    </row>
    <row r="25">
      <c r="A25" s="4" t="inlineStr">
        <is>
          <t>조경산업기사</t>
        </is>
      </c>
      <c r="B25" s="4" t="n">
        <v>2022</v>
      </c>
      <c r="C25" s="5" t="n">
        <v>117</v>
      </c>
      <c r="D25" s="5" t="n">
        <v>62</v>
      </c>
      <c r="E25" s="5">
        <f>C25+D25</f>
        <v/>
      </c>
      <c r="F25" s="6">
        <f>D25/E25</f>
        <v/>
      </c>
    </row>
    <row r="26">
      <c r="A26" s="4" t="inlineStr">
        <is>
          <t>조경산업기사</t>
        </is>
      </c>
      <c r="B26" s="4" t="n">
        <v>2023</v>
      </c>
      <c r="C26" s="5" t="n">
        <v>74</v>
      </c>
      <c r="D26" s="5" t="n">
        <v>62</v>
      </c>
      <c r="E26" s="5">
        <f>C26+D26</f>
        <v/>
      </c>
      <c r="F26" s="6">
        <f>D26/E26</f>
        <v/>
      </c>
    </row>
    <row r="27">
      <c r="A27" s="4" t="inlineStr">
        <is>
          <t>조경기능사</t>
        </is>
      </c>
      <c r="B27" s="4" t="n">
        <v>2013</v>
      </c>
      <c r="C27" s="5" t="n">
        <v>3235</v>
      </c>
      <c r="D27" s="5" t="n">
        <v>1300</v>
      </c>
      <c r="E27" s="5">
        <f>C27+D27</f>
        <v/>
      </c>
      <c r="F27" s="6">
        <f>D27/E27</f>
        <v/>
      </c>
    </row>
    <row r="28">
      <c r="A28" s="4" t="inlineStr">
        <is>
          <t>조경기능사</t>
        </is>
      </c>
      <c r="B28" s="4" t="n">
        <v>2014</v>
      </c>
      <c r="C28" s="5" t="n">
        <v>3044</v>
      </c>
      <c r="D28" s="5" t="n">
        <v>1168</v>
      </c>
      <c r="E28" s="5">
        <f>C28+D28</f>
        <v/>
      </c>
      <c r="F28" s="6">
        <f>D28/E28</f>
        <v/>
      </c>
    </row>
    <row r="29">
      <c r="A29" s="4" t="inlineStr">
        <is>
          <t>조경기능사</t>
        </is>
      </c>
      <c r="B29" s="4" t="n">
        <v>2015</v>
      </c>
      <c r="C29" s="5" t="n">
        <v>3015</v>
      </c>
      <c r="D29" s="5" t="n">
        <v>1169</v>
      </c>
      <c r="E29" s="5">
        <f>C29+D29</f>
        <v/>
      </c>
      <c r="F29" s="6">
        <f>D29/E29</f>
        <v/>
      </c>
    </row>
    <row r="30">
      <c r="A30" s="4" t="inlineStr">
        <is>
          <t>조경기능사</t>
        </is>
      </c>
      <c r="B30" s="4" t="n">
        <v>2016</v>
      </c>
      <c r="C30" s="5" t="n">
        <v>3231</v>
      </c>
      <c r="D30" s="5" t="n">
        <v>1106</v>
      </c>
      <c r="E30" s="5">
        <f>C30+D30</f>
        <v/>
      </c>
      <c r="F30" s="6">
        <f>D30/E30</f>
        <v/>
      </c>
    </row>
    <row r="31">
      <c r="A31" s="4" t="inlineStr">
        <is>
          <t>조경기능사</t>
        </is>
      </c>
      <c r="B31" s="4" t="n">
        <v>2017</v>
      </c>
      <c r="C31" s="5" t="n">
        <v>3212</v>
      </c>
      <c r="D31" s="5" t="n">
        <v>1250</v>
      </c>
      <c r="E31" s="5">
        <f>C31+D31</f>
        <v/>
      </c>
      <c r="F31" s="6">
        <f>D31/E31</f>
        <v/>
      </c>
    </row>
    <row r="32">
      <c r="A32" s="4" t="inlineStr">
        <is>
          <t>조경기능사</t>
        </is>
      </c>
      <c r="B32" s="4" t="n">
        <v>2018</v>
      </c>
      <c r="C32" s="5" t="n">
        <v>3742</v>
      </c>
      <c r="D32" s="5" t="n">
        <v>1265</v>
      </c>
      <c r="E32" s="5">
        <f>C32+D32</f>
        <v/>
      </c>
      <c r="F32" s="6">
        <f>D32/E32</f>
        <v/>
      </c>
    </row>
    <row r="33">
      <c r="A33" s="4" t="inlineStr">
        <is>
          <t>조경기능사</t>
        </is>
      </c>
      <c r="B33" s="4" t="n">
        <v>2019</v>
      </c>
      <c r="C33" s="5" t="n">
        <v>3942</v>
      </c>
      <c r="D33" s="5" t="n">
        <v>1252</v>
      </c>
      <c r="E33" s="5">
        <f>C33+D33</f>
        <v/>
      </c>
      <c r="F33" s="6">
        <f>D33/E33</f>
        <v/>
      </c>
    </row>
    <row r="34">
      <c r="A34" s="4" t="inlineStr">
        <is>
          <t>조경기능사</t>
        </is>
      </c>
      <c r="B34" s="4" t="n">
        <v>2020</v>
      </c>
      <c r="C34" s="5" t="n">
        <v>4320</v>
      </c>
      <c r="D34" s="5" t="n">
        <v>1340</v>
      </c>
      <c r="E34" s="5">
        <f>C34+D34</f>
        <v/>
      </c>
      <c r="F34" s="6">
        <f>D34/E34</f>
        <v/>
      </c>
    </row>
    <row r="35">
      <c r="A35" s="4" t="inlineStr">
        <is>
          <t>조경기능사</t>
        </is>
      </c>
      <c r="B35" s="4" t="n">
        <v>2021</v>
      </c>
      <c r="C35" s="5" t="n">
        <v>5586</v>
      </c>
      <c r="D35" s="5" t="n">
        <v>1845</v>
      </c>
      <c r="E35" s="5">
        <f>C35+D35</f>
        <v/>
      </c>
      <c r="F35" s="6">
        <f>D35/E35</f>
        <v/>
      </c>
    </row>
    <row r="36">
      <c r="A36" s="4" t="inlineStr">
        <is>
          <t>조경기능사</t>
        </is>
      </c>
      <c r="B36" s="4" t="n">
        <v>2022</v>
      </c>
      <c r="C36" s="5" t="n">
        <v>5509</v>
      </c>
      <c r="D36" s="5" t="n">
        <v>1965</v>
      </c>
      <c r="E36" s="5">
        <f>C36+D36</f>
        <v/>
      </c>
      <c r="F36" s="6">
        <f>D36/E36</f>
        <v/>
      </c>
    </row>
    <row r="37">
      <c r="A37" s="4" t="inlineStr">
        <is>
          <t>조경기능사</t>
        </is>
      </c>
      <c r="B37" s="4" t="n">
        <v>2023</v>
      </c>
      <c r="C37" s="5" t="n">
        <v>5471</v>
      </c>
      <c r="D37" s="5" t="n">
        <v>2291</v>
      </c>
      <c r="E37" s="5">
        <f>C37+D37</f>
        <v/>
      </c>
      <c r="F37" s="6">
        <f>D37/E37</f>
        <v/>
      </c>
    </row>
    <row r="38">
      <c r="A38" s="4" t="inlineStr">
        <is>
          <t>조경기능사</t>
        </is>
      </c>
      <c r="B38" s="4" t="n">
        <v>2024</v>
      </c>
      <c r="C38" s="5" t="n">
        <v>1047</v>
      </c>
      <c r="D38" s="5" t="n">
        <v>464</v>
      </c>
      <c r="E38" s="5">
        <f>C38+D38</f>
        <v/>
      </c>
      <c r="F38" s="6">
        <f>D38/E38</f>
        <v/>
      </c>
    </row>
    <row r="39">
      <c r="A39" s="4" t="inlineStr">
        <is>
          <t>조경기술사</t>
        </is>
      </c>
      <c r="B39" s="4" t="n">
        <v>2013</v>
      </c>
      <c r="C39" s="5" t="n">
        <v>7</v>
      </c>
      <c r="D39" s="5" t="n">
        <v>4</v>
      </c>
      <c r="E39" s="5">
        <f>C39+D39</f>
        <v/>
      </c>
      <c r="F39" s="6">
        <f>D39/E39</f>
        <v/>
      </c>
    </row>
    <row r="40">
      <c r="A40" s="4" t="inlineStr">
        <is>
          <t>조경기술사</t>
        </is>
      </c>
      <c r="B40" s="4" t="n">
        <v>2014</v>
      </c>
      <c r="C40" s="5" t="n">
        <v>7</v>
      </c>
      <c r="D40" s="5" t="n">
        <v>5</v>
      </c>
      <c r="E40" s="5">
        <f>C40+D40</f>
        <v/>
      </c>
      <c r="F40" s="6">
        <f>D40/E40</f>
        <v/>
      </c>
    </row>
    <row r="41">
      <c r="A41" s="4" t="inlineStr">
        <is>
          <t>조경기술사</t>
        </is>
      </c>
      <c r="B41" s="4" t="n">
        <v>2015</v>
      </c>
      <c r="C41" s="5" t="n">
        <v>7</v>
      </c>
      <c r="D41" s="5" t="n">
        <v>8</v>
      </c>
      <c r="E41" s="5">
        <f>C41+D41</f>
        <v/>
      </c>
      <c r="F41" s="6">
        <f>D41/E41</f>
        <v/>
      </c>
    </row>
    <row r="42">
      <c r="A42" s="4" t="inlineStr">
        <is>
          <t>조경기술사</t>
        </is>
      </c>
      <c r="B42" s="4" t="n">
        <v>2016</v>
      </c>
      <c r="C42" s="5" t="n">
        <v>2</v>
      </c>
      <c r="D42" s="5" t="n">
        <v>6</v>
      </c>
      <c r="E42" s="5">
        <f>C42+D42</f>
        <v/>
      </c>
      <c r="F42" s="6">
        <f>D42/E42</f>
        <v/>
      </c>
    </row>
    <row r="43">
      <c r="A43" s="4" t="inlineStr">
        <is>
          <t>조경기술사</t>
        </is>
      </c>
      <c r="B43" s="4" t="n">
        <v>2017</v>
      </c>
      <c r="C43" s="5" t="n">
        <v>7</v>
      </c>
      <c r="D43" s="5" t="n">
        <v>5</v>
      </c>
      <c r="E43" s="5">
        <f>C43+D43</f>
        <v/>
      </c>
      <c r="F43" s="6">
        <f>D43/E43</f>
        <v/>
      </c>
    </row>
    <row r="44">
      <c r="A44" s="4" t="inlineStr">
        <is>
          <t>조경기술사</t>
        </is>
      </c>
      <c r="B44" s="4" t="n">
        <v>2018</v>
      </c>
      <c r="C44" s="5" t="n">
        <v>6</v>
      </c>
      <c r="D44" s="5" t="n">
        <v>6</v>
      </c>
      <c r="E44" s="5">
        <f>C44+D44</f>
        <v/>
      </c>
      <c r="F44" s="6">
        <f>D44/E44</f>
        <v/>
      </c>
    </row>
    <row r="45">
      <c r="A45" s="4" t="inlineStr">
        <is>
          <t>조경기술사</t>
        </is>
      </c>
      <c r="B45" s="4" t="n">
        <v>2019</v>
      </c>
      <c r="C45" s="5" t="n">
        <v>17</v>
      </c>
      <c r="D45" s="5" t="n">
        <v>6</v>
      </c>
      <c r="E45" s="5">
        <f>C45+D45</f>
        <v/>
      </c>
      <c r="F45" s="6">
        <f>D45/E45</f>
        <v/>
      </c>
    </row>
    <row r="46">
      <c r="A46" s="4" t="inlineStr">
        <is>
          <t>조경기술사</t>
        </is>
      </c>
      <c r="B46" s="4" t="n">
        <v>2020</v>
      </c>
      <c r="C46" s="5" t="n">
        <v>12</v>
      </c>
      <c r="D46" s="5" t="n">
        <v>9</v>
      </c>
      <c r="E46" s="5">
        <f>C46+D46</f>
        <v/>
      </c>
      <c r="F46" s="6">
        <f>D46/E46</f>
        <v/>
      </c>
    </row>
    <row r="47">
      <c r="A47" s="4" t="inlineStr">
        <is>
          <t>조경기술사</t>
        </is>
      </c>
      <c r="B47" s="4" t="n">
        <v>2021</v>
      </c>
      <c r="C47" s="5" t="n">
        <v>8</v>
      </c>
      <c r="D47" s="5" t="n">
        <v>7</v>
      </c>
      <c r="E47" s="5">
        <f>C47+D47</f>
        <v/>
      </c>
      <c r="F47" s="6">
        <f>D47/E47</f>
        <v/>
      </c>
    </row>
    <row r="48">
      <c r="A48" s="4" t="inlineStr">
        <is>
          <t>조경기술사</t>
        </is>
      </c>
      <c r="B48" s="4" t="n">
        <v>2022</v>
      </c>
      <c r="C48" s="5" t="n">
        <v>11</v>
      </c>
      <c r="D48" s="5" t="n">
        <v>7</v>
      </c>
      <c r="E48" s="5">
        <f>C48+D48</f>
        <v/>
      </c>
      <c r="F48" s="6">
        <f>D48/E48</f>
        <v/>
      </c>
    </row>
    <row r="49">
      <c r="A49" s="4" t="inlineStr">
        <is>
          <t>조경기술사</t>
        </is>
      </c>
      <c r="B49" s="4" t="n">
        <v>2023</v>
      </c>
      <c r="C49" s="5" t="n">
        <v>16</v>
      </c>
      <c r="D49" s="5" t="n">
        <v>9</v>
      </c>
      <c r="E49" s="5">
        <f>C49+D49</f>
        <v/>
      </c>
      <c r="F49" s="6">
        <f>D49/E49</f>
        <v/>
      </c>
    </row>
    <row r="50">
      <c r="A50" s="4" t="inlineStr">
        <is>
          <t>조경기술사</t>
        </is>
      </c>
      <c r="B50" s="4" t="n">
        <v>2024</v>
      </c>
      <c r="C50" s="5" t="n">
        <v>4</v>
      </c>
      <c r="D50" s="5" t="n">
        <v>5</v>
      </c>
      <c r="E50" s="5">
        <f>C50+D50</f>
        <v/>
      </c>
      <c r="F50" s="6">
        <f>D50/E50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2026-09-21T06:49:56Z</dcterms:created>
  <dcterms:modified xsi:type="dcterms:W3CDTF">2026-09-21T06:50:37Z</dcterms:modified>
</cp:coreProperties>
</file>